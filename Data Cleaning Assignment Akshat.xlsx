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DELL\Desktop\PW Skills\Assignment\Excel\Module 1 Assignment 1\"/>
    </mc:Choice>
  </mc:AlternateContent>
  <xr:revisionPtr revIDLastSave="0" documentId="13_ncr:1_{3CD68A0A-F141-4AE7-873C-8422B3118461}" xr6:coauthVersionLast="47" xr6:coauthVersionMax="47" xr10:uidLastSave="{00000000-0000-0000-0000-000000000000}"/>
  <bookViews>
    <workbookView xWindow="-120" yWindow="-120" windowWidth="20730" windowHeight="11160" xr2:uid="{00000000-000D-0000-FFFF-FFFF00000000}"/>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7" l="1"/>
  <c r="D29" i="6"/>
  <c r="D24" i="6"/>
  <c r="D18" i="6"/>
  <c r="D12" i="6"/>
  <c r="C46" i="3"/>
  <c r="C59" i="3"/>
  <c r="C75" i="3"/>
  <c r="F29" i="7"/>
  <c r="F23" i="7"/>
  <c r="H67" i="7"/>
  <c r="H66" i="7"/>
  <c r="H65" i="7"/>
  <c r="H64" i="7"/>
  <c r="H63" i="7"/>
  <c r="E72" i="8"/>
  <c r="E53" i="8"/>
  <c r="E48" i="8"/>
  <c r="G23" i="8"/>
  <c r="G34" i="8"/>
  <c r="G56" i="7"/>
  <c r="F49" i="7"/>
  <c r="F14" i="7"/>
  <c r="F36" i="7"/>
  <c r="F20" i="7"/>
  <c r="D34" i="6"/>
  <c r="C33" i="3"/>
  <c r="C19" i="3"/>
</calcChain>
</file>

<file path=xl/sharedStrings.xml><?xml version="1.0" encoding="utf-8"?>
<sst xmlns="http://schemas.openxmlformats.org/spreadsheetml/2006/main" count="452" uniqueCount="280">
  <si>
    <t>What is data cleaning, and why is it important in data analysis?</t>
  </si>
  <si>
    <t>Q)</t>
  </si>
  <si>
    <r>
      <t xml:space="preserve">Analyzing </t>
    </r>
    <r>
      <rPr>
        <b/>
        <sz val="11"/>
        <color theme="1"/>
        <rFont val="Calibri"/>
        <family val="2"/>
        <scheme val="minor"/>
      </rPr>
      <t>unclean or messy data</t>
    </r>
    <r>
      <rPr>
        <sz val="11"/>
        <color theme="1"/>
        <rFont val="Calibri"/>
        <family val="2"/>
        <scheme val="minor"/>
      </rPr>
      <t xml:space="preserve"> can create several serious problems that affect accuracy, decision-making, and outcomes. Here are the major consequences:</t>
    </r>
  </si>
  <si>
    <t>Example: Duplicate entries may inflate totals, missing values may bias averages, and typos may misclassify items.</t>
  </si>
  <si>
    <t>If decisions are based on incorrect analysis, organizations may:</t>
  </si>
  <si>
    <t>Machine learning models rely heavily on data quality. Messy data can cause:</t>
  </si>
  <si>
    <r>
      <t xml:space="preserve">Analysts spend </t>
    </r>
    <r>
      <rPr>
        <b/>
        <sz val="11"/>
        <color theme="1"/>
        <rFont val="Calibri"/>
        <family val="2"/>
        <scheme val="minor"/>
      </rPr>
      <t>significant time fixing errors manually</t>
    </r>
    <r>
      <rPr>
        <sz val="11"/>
        <color theme="1"/>
        <rFont val="Calibri"/>
        <family val="2"/>
        <scheme val="minor"/>
      </rPr>
      <t>, delaying projects.</t>
    </r>
  </si>
  <si>
    <t>ANS :-</t>
  </si>
  <si>
    <t>• What are the potential consequences of analyzing unclean or messy data</t>
  </si>
  <si>
    <t>• Explain the common steps involved in cleaning and organizing data.</t>
  </si>
  <si>
    <t>1. Importing and Understanding the Data</t>
  </si>
  <si>
    <t>Before cleaning, you must understand:</t>
  </si>
  <si>
    <t>2. Handling Missing Data</t>
  </si>
  <si>
    <t>3. Removing Duplicates</t>
  </si>
  <si>
    <t>5. Correcting Errors &amp; Outliers</t>
  </si>
  <si>
    <t>6. Standardizing Data Types</t>
  </si>
  <si>
    <t>Convert data to proper formats:</t>
  </si>
  <si>
    <t>4. Filtering and Sorting</t>
  </si>
  <si>
    <t>How would you sort the following dataset first by "Department" (A-Z) and then by "Salary" (Largest to Smallest)? Write a step-by-step approach.</t>
  </si>
  <si>
    <t>ANS:-</t>
  </si>
  <si>
    <t>Employee</t>
  </si>
  <si>
    <t>Department</t>
  </si>
  <si>
    <t>Salary</t>
  </si>
  <si>
    <t>Sonu</t>
  </si>
  <si>
    <t>Pranav</t>
  </si>
  <si>
    <t>Rahul</t>
  </si>
  <si>
    <t>IT</t>
  </si>
  <si>
    <t>HR</t>
  </si>
  <si>
    <t>1) Excel (Ribbon / Sort dialog) — step-by-step</t>
  </si>
  <si>
    <t>1. Select the entire table range including headers</t>
  </si>
  <si>
    <r>
      <t xml:space="preserve">2. On the </t>
    </r>
    <r>
      <rPr>
        <b/>
        <sz val="14"/>
        <color theme="1"/>
        <rFont val="Calibri"/>
        <family val="2"/>
        <scheme val="minor"/>
      </rPr>
      <t>Data</t>
    </r>
    <r>
      <rPr>
        <sz val="14"/>
        <color theme="1"/>
        <rFont val="Calibri"/>
        <family val="2"/>
        <scheme val="minor"/>
      </rPr>
      <t xml:space="preserve"> tab click </t>
    </r>
    <r>
      <rPr>
        <b/>
        <sz val="14"/>
        <color theme="1"/>
        <rFont val="Calibri"/>
        <family val="2"/>
        <scheme val="minor"/>
      </rPr>
      <t>Sort</t>
    </r>
    <r>
      <rPr>
        <sz val="14"/>
        <color theme="1"/>
        <rFont val="Calibri"/>
        <family val="2"/>
        <scheme val="minor"/>
      </rPr>
      <t>.</t>
    </r>
  </si>
  <si>
    <r>
      <t xml:space="preserve">3. In the Sort dialog check </t>
    </r>
    <r>
      <rPr>
        <b/>
        <sz val="14"/>
        <color theme="1"/>
        <rFont val="Calibri"/>
        <family val="2"/>
        <scheme val="minor"/>
      </rPr>
      <t>My data has headers</t>
    </r>
    <r>
      <rPr>
        <sz val="14"/>
        <color theme="1"/>
        <rFont val="Calibri"/>
        <family val="2"/>
        <scheme val="minor"/>
      </rPr>
      <t>.</t>
    </r>
  </si>
  <si>
    <r>
      <t xml:space="preserve">4. Click </t>
    </r>
    <r>
      <rPr>
        <b/>
        <sz val="14"/>
        <color theme="1"/>
        <rFont val="Calibri"/>
        <family val="2"/>
        <scheme val="minor"/>
      </rPr>
      <t>Add Level</t>
    </r>
    <r>
      <rPr>
        <sz val="14"/>
        <color theme="1"/>
        <rFont val="Calibri"/>
        <family val="2"/>
        <scheme val="minor"/>
      </rPr>
      <t xml:space="preserve"> (if only one level shown).</t>
    </r>
  </si>
  <si>
    <r>
      <t xml:space="preserve">5. For the first level choose </t>
    </r>
    <r>
      <rPr>
        <b/>
        <sz val="14"/>
        <color theme="1"/>
        <rFont val="Calibri"/>
        <family val="2"/>
        <scheme val="minor"/>
      </rPr>
      <t>Sort by</t>
    </r>
    <r>
      <rPr>
        <sz val="14"/>
        <color theme="1"/>
        <rFont val="Calibri"/>
        <family val="2"/>
        <scheme val="minor"/>
      </rPr>
      <t xml:space="preserve"> = </t>
    </r>
    <r>
      <rPr>
        <b/>
        <sz val="14"/>
        <color theme="1"/>
        <rFont val="Calibri"/>
        <family val="2"/>
        <scheme val="minor"/>
      </rPr>
      <t>Department</t>
    </r>
    <r>
      <rPr>
        <sz val="14"/>
        <color theme="1"/>
        <rFont val="Calibri"/>
        <family val="2"/>
        <scheme val="minor"/>
      </rPr>
      <t xml:space="preserve">, </t>
    </r>
    <r>
      <rPr>
        <b/>
        <sz val="14"/>
        <color theme="1"/>
        <rFont val="Calibri"/>
        <family val="2"/>
        <scheme val="minor"/>
      </rPr>
      <t>Order</t>
    </r>
    <r>
      <rPr>
        <sz val="14"/>
        <color theme="1"/>
        <rFont val="Calibri"/>
        <family val="2"/>
        <scheme val="minor"/>
      </rPr>
      <t xml:space="preserve"> = </t>
    </r>
    <r>
      <rPr>
        <b/>
        <sz val="14"/>
        <color theme="1"/>
        <rFont val="Calibri"/>
        <family val="2"/>
        <scheme val="minor"/>
      </rPr>
      <t>A to Z</t>
    </r>
    <r>
      <rPr>
        <sz val="14"/>
        <color theme="1"/>
        <rFont val="Calibri"/>
        <family val="2"/>
        <scheme val="minor"/>
      </rPr>
      <t>.</t>
    </r>
  </si>
  <si>
    <r>
      <t xml:space="preserve">6. Click </t>
    </r>
    <r>
      <rPr>
        <b/>
        <sz val="14"/>
        <color theme="1"/>
        <rFont val="Calibri"/>
        <family val="2"/>
        <scheme val="minor"/>
      </rPr>
      <t>Add Level</t>
    </r>
    <r>
      <rPr>
        <sz val="14"/>
        <color theme="1"/>
        <rFont val="Calibri"/>
        <family val="2"/>
        <scheme val="minor"/>
      </rPr>
      <t xml:space="preserve"> again and set </t>
    </r>
    <r>
      <rPr>
        <b/>
        <sz val="14"/>
        <color theme="1"/>
        <rFont val="Calibri"/>
        <family val="2"/>
        <scheme val="minor"/>
      </rPr>
      <t>Then by</t>
    </r>
    <r>
      <rPr>
        <sz val="14"/>
        <color theme="1"/>
        <rFont val="Calibri"/>
        <family val="2"/>
        <scheme val="minor"/>
      </rPr>
      <t xml:space="preserve"> = </t>
    </r>
    <r>
      <rPr>
        <b/>
        <sz val="14"/>
        <color theme="1"/>
        <rFont val="Calibri"/>
        <family val="2"/>
        <scheme val="minor"/>
      </rPr>
      <t>Salary</t>
    </r>
    <r>
      <rPr>
        <sz val="14"/>
        <color theme="1"/>
        <rFont val="Calibri"/>
        <family val="2"/>
        <scheme val="minor"/>
      </rPr>
      <t xml:space="preserve">, </t>
    </r>
    <r>
      <rPr>
        <b/>
        <sz val="14"/>
        <color theme="1"/>
        <rFont val="Calibri"/>
        <family val="2"/>
        <scheme val="minor"/>
      </rPr>
      <t>Order</t>
    </r>
    <r>
      <rPr>
        <sz val="14"/>
        <color theme="1"/>
        <rFont val="Calibri"/>
        <family val="2"/>
        <scheme val="minor"/>
      </rPr>
      <t xml:space="preserve"> = </t>
    </r>
    <r>
      <rPr>
        <b/>
        <sz val="14"/>
        <color theme="1"/>
        <rFont val="Calibri"/>
        <family val="2"/>
        <scheme val="minor"/>
      </rPr>
      <t>Largest to Smallest</t>
    </r>
    <r>
      <rPr>
        <sz val="14"/>
        <color theme="1"/>
        <rFont val="Calibri"/>
        <family val="2"/>
        <scheme val="minor"/>
      </rPr>
      <t>.</t>
    </r>
  </si>
  <si>
    <r>
      <t xml:space="preserve">7. Click </t>
    </r>
    <r>
      <rPr>
        <b/>
        <sz val="14"/>
        <color theme="1"/>
        <rFont val="Calibri"/>
        <family val="2"/>
        <scheme val="minor"/>
      </rPr>
      <t>OK</t>
    </r>
    <r>
      <rPr>
        <sz val="14"/>
        <color theme="1"/>
        <rFont val="Calibri"/>
        <family val="2"/>
        <scheme val="minor"/>
      </rPr>
      <t xml:space="preserve"> — table will reorder to the final sorted table above.</t>
    </r>
  </si>
  <si>
    <t>Explain the use of text functions such as TRIM , LEFT, RIGHT, MID, and CONCAT in data cleaning.</t>
  </si>
  <si>
    <t>Excel provides several text functions that help clean and organize messy data. These functions are especially useful when working with imported data that contains extra spaces, unwanted characters, or mixed information in a single cell.</t>
  </si>
  <si>
    <t>🔹 1. TRIM()</t>
  </si>
  <si>
    <t>Purpose:</t>
  </si>
  <si>
    <t>Why It’s Used in Data Cleaning:</t>
  </si>
  <si>
    <t>Imported data often contains unnecessary spaces that break formulas and sorting.</t>
  </si>
  <si>
    <t>Example:</t>
  </si>
  <si>
    <t>Result:</t>
  </si>
  <si>
    <t>🔹 2. LEFT(text, num_chars)</t>
  </si>
  <si>
    <t>Useful to extract codes, prefixes, first names, product IDs, etc.</t>
  </si>
  <si>
    <t>🔹 3. RIGHT(text, num_chars)</t>
  </si>
  <si>
    <t>Used to extract ending numbers, suffixes, last few characters of an ID, etc.</t>
  </si>
  <si>
    <t>🔹 4. MID(text, start_num, num_chars)</t>
  </si>
  <si>
    <t>Helpful when data contains mixed text (e.g., codes + names) and you need a specific part.</t>
  </si>
  <si>
    <t>(Starts from 4th character and takes 3 characters)</t>
  </si>
  <si>
    <t>🔹 5. CONCAT() or CONCATENATE()</t>
  </si>
  <si>
    <t>Joins two or more text values into one.</t>
  </si>
  <si>
    <t>Used to combine cleaned fields, merge first &amp; last names, prepare full product codes, etc.</t>
  </si>
  <si>
    <r>
      <t xml:space="preserve">Removes </t>
    </r>
    <r>
      <rPr>
        <b/>
        <sz val="14"/>
        <color theme="1"/>
        <rFont val="Calibri"/>
        <family val="2"/>
        <scheme val="minor"/>
      </rPr>
      <t>extra spaces</t>
    </r>
    <r>
      <rPr>
        <sz val="14"/>
        <color theme="1"/>
        <rFont val="Calibri"/>
        <family val="2"/>
        <scheme val="minor"/>
      </rPr>
      <t xml:space="preserve"> from text — including leading, trailing, and multiple spaces between words.</t>
    </r>
  </si>
  <si>
    <r>
      <t xml:space="preserve">Extracts a specific number of characters from the </t>
    </r>
    <r>
      <rPr>
        <b/>
        <sz val="14"/>
        <color theme="1"/>
        <rFont val="Calibri"/>
        <family val="2"/>
        <scheme val="minor"/>
      </rPr>
      <t>left</t>
    </r>
    <r>
      <rPr>
        <sz val="14"/>
        <color theme="1"/>
        <rFont val="Calibri"/>
        <family val="2"/>
        <scheme val="minor"/>
      </rPr>
      <t xml:space="preserve"> side of a text string.</t>
    </r>
  </si>
  <si>
    <r>
      <t xml:space="preserve">Extracts characters from the </t>
    </r>
    <r>
      <rPr>
        <b/>
        <sz val="14"/>
        <color theme="1"/>
        <rFont val="Calibri"/>
        <family val="2"/>
        <scheme val="minor"/>
      </rPr>
      <t>right</t>
    </r>
    <r>
      <rPr>
        <sz val="14"/>
        <color theme="1"/>
        <rFont val="Calibri"/>
        <family val="2"/>
        <scheme val="minor"/>
      </rPr>
      <t xml:space="preserve"> side of a text string.</t>
    </r>
  </si>
  <si>
    <r>
      <t xml:space="preserve">Extracts characters </t>
    </r>
    <r>
      <rPr>
        <b/>
        <sz val="14"/>
        <color theme="1"/>
        <rFont val="Calibri"/>
        <family val="2"/>
        <scheme val="minor"/>
      </rPr>
      <t>from the middle</t>
    </r>
    <r>
      <rPr>
        <sz val="14"/>
        <color theme="1"/>
        <rFont val="Calibri"/>
        <family val="2"/>
        <scheme val="minor"/>
      </rPr>
      <t xml:space="preserve"> of a text string.</t>
    </r>
  </si>
  <si>
    <t>Function</t>
  </si>
  <si>
    <t>What It Does</t>
  </si>
  <si>
    <t>Data Cleaning Use</t>
  </si>
  <si>
    <t>TRIM</t>
  </si>
  <si>
    <t>Removes unnecessary spaces</t>
  </si>
  <si>
    <t>Cleaning imported or messy text</t>
  </si>
  <si>
    <t>LEFT</t>
  </si>
  <si>
    <t>Extracts text from left side</t>
  </si>
  <si>
    <t>Extract codes, prefixes, first name</t>
  </si>
  <si>
    <t>RIGHT</t>
  </si>
  <si>
    <t>Extracts text from right side</t>
  </si>
  <si>
    <t>Extract suffixes, ending digits</t>
  </si>
  <si>
    <t>MID</t>
  </si>
  <si>
    <t>Extracts text from middle</t>
  </si>
  <si>
    <t>Extract part of ID or code</t>
  </si>
  <si>
    <t>CONCAT</t>
  </si>
  <si>
    <t>Joins text values</t>
  </si>
  <si>
    <t>Combine cleaned fields</t>
  </si>
  <si>
    <t>• Text Functions in Excel for Data Cleaning</t>
  </si>
  <si>
    <t>What is the role of date functions like TODAY in managing datasets?</t>
  </si>
  <si>
    <t>✅ 1. Automatically Inserts the Current Date</t>
  </si>
  <si>
    <t>It updates every day automatically.</t>
  </si>
  <si>
    <t>Useful when you want your dataset to always reflect the current date without manual entry.</t>
  </si>
  <si>
    <t>✅ 2. Helps Calculate Age, Duration, and Deadlines</t>
  </si>
  <si>
    <t>Age of a person</t>
  </si>
  <si>
    <t>Days remaining until a due date</t>
  </si>
  <si>
    <t>Days passed since a start date</t>
  </si>
  <si>
    <t>Examples:</t>
  </si>
  <si>
    <t>✅ 3. Useful for Time-Based Filtering</t>
  </si>
  <si>
    <r>
      <t xml:space="preserve">Highlight overdue tasks using </t>
    </r>
    <r>
      <rPr>
        <b/>
        <sz val="11"/>
        <color theme="1"/>
        <rFont val="Calibri"/>
        <family val="2"/>
        <scheme val="minor"/>
      </rPr>
      <t>Conditional Formatting</t>
    </r>
  </si>
  <si>
    <t>Filter records that are due this week, month, etc.</t>
  </si>
  <si>
    <t>Example (highlight overdue tasks):</t>
  </si>
  <si>
    <t>✅ 4. Supports Dynamic Reports and Dashboards</t>
  </si>
  <si>
    <t>When dashboards rely on current data:</t>
  </si>
  <si>
    <t>KPIs like “sales this month” or “attendance till date” update automatically.</t>
  </si>
  <si>
    <t>No need to update dates manually each day.</t>
  </si>
  <si>
    <t>Sales in last 30 days:</t>
  </si>
  <si>
    <t>Sales in last 30 days: =SUMIFS(SalesRange, DateRange, "&gt;" &amp; TODAY() - 30)</t>
  </si>
  <si>
    <t>ANSWER=A2 &lt; TODAY()</t>
  </si>
  <si>
    <r>
      <t xml:space="preserve">Date functions like </t>
    </r>
    <r>
      <rPr>
        <b/>
        <sz val="14"/>
        <color theme="1"/>
        <rFont val="Calibri"/>
        <family val="2"/>
        <scheme val="minor"/>
      </rPr>
      <t>TODAY()</t>
    </r>
    <r>
      <rPr>
        <sz val="14"/>
        <color theme="1"/>
        <rFont val="Calibri"/>
        <family val="2"/>
        <scheme val="minor"/>
      </rPr>
      <t xml:space="preserve"> play an important role in managing and analyzing datasets in Excel. They help automate time-based calculations, keep data updated, and reduce manual work.</t>
    </r>
  </si>
  <si>
    <t>Customer Name</t>
  </si>
  <si>
    <t>Product Name</t>
  </si>
  <si>
    <t>Category</t>
  </si>
  <si>
    <t>Quantity</t>
  </si>
  <si>
    <t>Unit Price ($)</t>
  </si>
  <si>
    <t>Jane Smith</t>
  </si>
  <si>
    <t>Shoes</t>
  </si>
  <si>
    <t>Electronics</t>
  </si>
  <si>
    <t>Isabella Moore</t>
  </si>
  <si>
    <t>Laptop</t>
  </si>
  <si>
    <t>Daniel Davis</t>
  </si>
  <si>
    <t>Sofa</t>
  </si>
  <si>
    <t>Clothing</t>
  </si>
  <si>
    <t>Alex Moore</t>
  </si>
  <si>
    <t>Michael Johnson</t>
  </si>
  <si>
    <t>Table Lamp</t>
  </si>
  <si>
    <t>Home Decor</t>
  </si>
  <si>
    <t>Daniel Johnson</t>
  </si>
  <si>
    <t>Backpack</t>
  </si>
  <si>
    <t>Isabella Davis</t>
  </si>
  <si>
    <t>Headphones</t>
  </si>
  <si>
    <t>Jane Davis</t>
  </si>
  <si>
    <t>Alex Wilson</t>
  </si>
  <si>
    <t>T-shirt</t>
  </si>
  <si>
    <t>Apply Data Validation to restrict Quantity values to only whole numbers between 1 and 10</t>
  </si>
  <si>
    <t xml:space="preserve">           A) Configure an input message that appears when a user selects a cell in the "Quantity" column explaining:</t>
  </si>
  <si>
    <t xml:space="preserve">                               "Please enter a whole number between 1 and 10."</t>
  </si>
  <si>
    <t xml:space="preserve">           B) Set up an error alert message that triggers if the user enters a number less than 1 or greater than 10, showing:</t>
  </si>
  <si>
    <t xml:space="preserve">                               "Invalid input! The quantity must be a whole number between 1 and 10."</t>
  </si>
  <si>
    <t>A) Configure an input message for the "Quantity" column</t>
  </si>
  <si>
    <r>
      <t xml:space="preserve">1. Select the cells in the </t>
    </r>
    <r>
      <rPr>
        <b/>
        <sz val="11"/>
        <color theme="1"/>
        <rFont val="Calibri"/>
        <family val="2"/>
        <scheme val="minor"/>
      </rPr>
      <t>Quantity</t>
    </r>
    <r>
      <rPr>
        <sz val="11"/>
        <color theme="1"/>
        <rFont val="Calibri"/>
        <family val="2"/>
        <scheme val="minor"/>
      </rPr>
      <t xml:space="preserve"> column.</t>
    </r>
  </si>
  <si>
    <r>
      <t xml:space="preserve">2. Go to </t>
    </r>
    <r>
      <rPr>
        <b/>
        <sz val="11"/>
        <color theme="1"/>
        <rFont val="Calibri"/>
        <family val="2"/>
        <scheme val="minor"/>
      </rPr>
      <t>Data</t>
    </r>
    <r>
      <rPr>
        <sz val="11"/>
        <color theme="1"/>
        <rFont val="Calibri"/>
        <family val="2"/>
        <scheme val="minor"/>
      </rPr>
      <t xml:space="preserve"> → </t>
    </r>
    <r>
      <rPr>
        <b/>
        <sz val="11"/>
        <color theme="1"/>
        <rFont val="Calibri"/>
        <family val="2"/>
        <scheme val="minor"/>
      </rPr>
      <t>Data Validation</t>
    </r>
    <r>
      <rPr>
        <sz val="11"/>
        <color theme="1"/>
        <rFont val="Calibri"/>
        <family val="2"/>
        <scheme val="minor"/>
      </rPr>
      <t>.</t>
    </r>
  </si>
  <si>
    <r>
      <t xml:space="preserve">3. Click the </t>
    </r>
    <r>
      <rPr>
        <b/>
        <sz val="11"/>
        <color theme="1"/>
        <rFont val="Calibri"/>
        <family val="2"/>
        <scheme val="minor"/>
      </rPr>
      <t>Input Message</t>
    </r>
    <r>
      <rPr>
        <sz val="11"/>
        <color theme="1"/>
        <rFont val="Calibri"/>
        <family val="2"/>
        <scheme val="minor"/>
      </rPr>
      <t xml:space="preserve"> tab.</t>
    </r>
  </si>
  <si>
    <r>
      <t xml:space="preserve">4. Check </t>
    </r>
    <r>
      <rPr>
        <b/>
        <sz val="11"/>
        <color theme="1"/>
        <rFont val="Calibri"/>
        <family val="2"/>
        <scheme val="minor"/>
      </rPr>
      <t>Show input message when cell is selected</t>
    </r>
    <r>
      <rPr>
        <sz val="11"/>
        <color theme="1"/>
        <rFont val="Calibri"/>
        <family val="2"/>
        <scheme val="minor"/>
      </rPr>
      <t>.</t>
    </r>
  </si>
  <si>
    <t>5. Enter the following:</t>
  </si>
  <si>
    <r>
      <t>Title:</t>
    </r>
    <r>
      <rPr>
        <sz val="11"/>
        <color theme="1"/>
        <rFont val="Calibri"/>
        <family val="2"/>
        <scheme val="minor"/>
      </rPr>
      <t xml:space="preserve"> Quantity Input</t>
    </r>
  </si>
  <si>
    <t>Input Message: "Please enter a whole number between 1 and 10."</t>
  </si>
  <si>
    <r>
      <t xml:space="preserve">6. Click </t>
    </r>
    <r>
      <rPr>
        <b/>
        <sz val="11"/>
        <color theme="1"/>
        <rFont val="Calibri"/>
        <family val="2"/>
        <scheme val="minor"/>
      </rPr>
      <t>OK</t>
    </r>
    <r>
      <rPr>
        <sz val="11"/>
        <color theme="1"/>
        <rFont val="Calibri"/>
        <family val="2"/>
        <scheme val="minor"/>
      </rPr>
      <t>.</t>
    </r>
  </si>
  <si>
    <t>B) Set up an Error Alert for invalid Quantity entries</t>
  </si>
  <si>
    <r>
      <t xml:space="preserve">1. Select the cells in the </t>
    </r>
    <r>
      <rPr>
        <b/>
        <sz val="11"/>
        <color theme="1"/>
        <rFont val="Calibri"/>
        <family val="2"/>
        <scheme val="minor"/>
      </rPr>
      <t>Quantity</t>
    </r>
    <r>
      <rPr>
        <sz val="11"/>
        <color theme="1"/>
        <rFont val="Calibri"/>
        <family val="2"/>
        <scheme val="minor"/>
      </rPr>
      <t xml:space="preserve"> column (e.g., D2:D10).</t>
    </r>
  </si>
  <si>
    <r>
      <t xml:space="preserve">3. In the </t>
    </r>
    <r>
      <rPr>
        <b/>
        <sz val="11"/>
        <color theme="1"/>
        <rFont val="Calibri"/>
        <family val="2"/>
        <scheme val="minor"/>
      </rPr>
      <t>Settings</t>
    </r>
    <r>
      <rPr>
        <sz val="11"/>
        <color theme="1"/>
        <rFont val="Calibri"/>
        <family val="2"/>
        <scheme val="minor"/>
      </rPr>
      <t xml:space="preserve"> tab:</t>
    </r>
  </si>
  <si>
    <r>
      <t>Allow:</t>
    </r>
    <r>
      <rPr>
        <sz val="11"/>
        <color theme="1"/>
        <rFont val="Calibri"/>
        <family val="2"/>
        <scheme val="minor"/>
      </rPr>
      <t xml:space="preserve"> Whole number</t>
    </r>
  </si>
  <si>
    <r>
      <t>Data:</t>
    </r>
    <r>
      <rPr>
        <sz val="11"/>
        <color theme="1"/>
        <rFont val="Calibri"/>
        <family val="2"/>
        <scheme val="minor"/>
      </rPr>
      <t xml:space="preserve"> Between</t>
    </r>
  </si>
  <si>
    <r>
      <t>Minimum:</t>
    </r>
    <r>
      <rPr>
        <sz val="11"/>
        <color theme="1"/>
        <rFont val="Calibri"/>
        <family val="2"/>
        <scheme val="minor"/>
      </rPr>
      <t xml:space="preserve"> 1</t>
    </r>
  </si>
  <si>
    <r>
      <t>Maximum:</t>
    </r>
    <r>
      <rPr>
        <sz val="11"/>
        <color theme="1"/>
        <rFont val="Calibri"/>
        <family val="2"/>
        <scheme val="minor"/>
      </rPr>
      <t xml:space="preserve"> 10</t>
    </r>
  </si>
  <si>
    <r>
      <t xml:space="preserve">4. Go to the </t>
    </r>
    <r>
      <rPr>
        <b/>
        <sz val="11"/>
        <color theme="1"/>
        <rFont val="Calibri"/>
        <family val="2"/>
        <scheme val="minor"/>
      </rPr>
      <t>Error Alert</t>
    </r>
    <r>
      <rPr>
        <sz val="11"/>
        <color theme="1"/>
        <rFont val="Calibri"/>
        <family val="2"/>
        <scheme val="minor"/>
      </rPr>
      <t xml:space="preserve"> tab.</t>
    </r>
  </si>
  <si>
    <r>
      <t xml:space="preserve">5. Make sure </t>
    </r>
    <r>
      <rPr>
        <b/>
        <sz val="11"/>
        <color theme="1"/>
        <rFont val="Calibri"/>
        <family val="2"/>
        <scheme val="minor"/>
      </rPr>
      <t>“Show error alert after invalid data is entered”</t>
    </r>
    <r>
      <rPr>
        <sz val="11"/>
        <color theme="1"/>
        <rFont val="Calibri"/>
        <family val="2"/>
        <scheme val="minor"/>
      </rPr>
      <t xml:space="preserve"> is checked.</t>
    </r>
  </si>
  <si>
    <t>6. Enter the following:</t>
  </si>
  <si>
    <r>
      <t>Style:</t>
    </r>
    <r>
      <rPr>
        <sz val="11"/>
        <color theme="1"/>
        <rFont val="Calibri"/>
        <family val="2"/>
        <scheme val="minor"/>
      </rPr>
      <t xml:space="preserve"> Stop</t>
    </r>
  </si>
  <si>
    <r>
      <t>Title:</t>
    </r>
    <r>
      <rPr>
        <sz val="11"/>
        <color theme="1"/>
        <rFont val="Calibri"/>
        <family val="2"/>
        <scheme val="minor"/>
      </rPr>
      <t xml:space="preserve"> Invalid Input</t>
    </r>
  </si>
  <si>
    <t>Error Message: "Invalid input! The quantity must be a whole number between 1 and 10."</t>
  </si>
  <si>
    <r>
      <t xml:space="preserve">Click </t>
    </r>
    <r>
      <rPr>
        <b/>
        <sz val="11"/>
        <color theme="1"/>
        <rFont val="Calibri"/>
        <family val="2"/>
        <scheme val="minor"/>
      </rPr>
      <t>OK</t>
    </r>
    <r>
      <rPr>
        <sz val="11"/>
        <color theme="1"/>
        <rFont val="Calibri"/>
        <family val="2"/>
        <scheme val="minor"/>
      </rPr>
      <t>.</t>
    </r>
  </si>
  <si>
    <t xml:space="preserve">KINDLY INPUT SOME VALUE IN QUANTITY TO CHECK ITS CORRECT OR NOT </t>
  </si>
  <si>
    <t>Understand and apply fundamental text functions like LEFT, RIGHT, MID, and LEN.</t>
  </si>
  <si>
    <t xml:space="preserve">            • Extract the first 5 characters from the string "ExcelTipsAreGreat" using the LEFT function</t>
  </si>
  <si>
    <t xml:space="preserve">            • Extract the last 4 characters from "DataAnalysis.xlsx" using the RIGHT function.</t>
  </si>
  <si>
    <t xml:space="preserve">            • Extract the substring "Tips" from "ExcelTipsAreGreat" using the MID function.</t>
  </si>
  <si>
    <t xml:space="preserve">            • Count the total number of characters in the string "Hello World!" using the LEN function.</t>
  </si>
  <si>
    <t xml:space="preserve">            • Create a formula to extract the middle 6 characters from "12345-67890-ABCDE".</t>
  </si>
  <si>
    <t>PROBLEM</t>
  </si>
  <si>
    <t>ExcelTipsAreGreat</t>
  </si>
  <si>
    <t>(SOLVED)</t>
  </si>
  <si>
    <t>DataAnalysis.xlsx</t>
  </si>
  <si>
    <t>Hello World!</t>
  </si>
  <si>
    <t>12345-67890-ABCDE</t>
  </si>
  <si>
    <t>WE USE THIS FORMULA TO COUNT CHARACTERS "HELLO WORLD"</t>
  </si>
  <si>
    <t>WE USE THE FORMULA TO EXTRACT MIDDLE 6 CHARACTERS</t>
  </si>
  <si>
    <t>Understand how to combine text using CONCAT, TEXTJOIN, and the &amp; operator.</t>
  </si>
  <si>
    <t xml:space="preserve">     a.) Use CONCAT to combine "Hello" and "World" with a space in between</t>
  </si>
  <si>
    <t xml:space="preserve">     b.) Combine "Apple", "Banana", and "Cherry" into a single string separated by commas using TEXTJOIN.</t>
  </si>
  <si>
    <t xml:space="preserve">     c.) Use the &amp; operator to create the string "2025: Excel Functions" by combining "2025", ": ", and "Excel Functions".</t>
  </si>
  <si>
    <t xml:space="preserve">     d.) Create a comma-separated list from the range A1:A5 using TEXTJOIN</t>
  </si>
  <si>
    <t xml:space="preserve">     e.) Combine first names in column A with last names in column B to create full names in column C.</t>
  </si>
  <si>
    <t>Understanding TODAY() and NOW()</t>
  </si>
  <si>
    <t xml:space="preserve">        a.) What is the difference between TODAY() and NOW() in Excel? Provide an example of when you would use_x000B_ each function.</t>
  </si>
  <si>
    <t xml:space="preserve">        b.) If cell A1 contains the date 2025-06-10, write a formula using TODAY() to determine how many days are left until that date</t>
  </si>
  <si>
    <t xml:space="preserve">        c.) Write an Excel formula using NOW() to display the current date and time in the format MM/DD/YYYY HH:MM AM/PM. ́</t>
  </si>
  <si>
    <t xml:space="preserve">        d.) If a cell contains =TODAY(), what will happen when the worksheet is reopened the next day? Explain</t>
  </si>
  <si>
    <t xml:space="preserve">        e.) You want to store a static date (today’s date) in a cell without it changing every day. What keyboard shortcut should you use?</t>
  </si>
  <si>
    <t>Hello</t>
  </si>
  <si>
    <t xml:space="preserve">and </t>
  </si>
  <si>
    <t>World</t>
  </si>
  <si>
    <t>Apple</t>
  </si>
  <si>
    <t>Banana</t>
  </si>
  <si>
    <t>Cherry</t>
  </si>
  <si>
    <t>OR</t>
  </si>
  <si>
    <t>THER IS TWO WAY TO SOLVE THE PROBLEM</t>
  </si>
  <si>
    <t>=</t>
  </si>
  <si>
    <t>Jane</t>
  </si>
  <si>
    <t>Smith</t>
  </si>
  <si>
    <t>Isabella</t>
  </si>
  <si>
    <t>Moore</t>
  </si>
  <si>
    <t>Daniel</t>
  </si>
  <si>
    <t>Davis</t>
  </si>
  <si>
    <t>Alex</t>
  </si>
  <si>
    <t>Michael</t>
  </si>
  <si>
    <t>Johnson</t>
  </si>
  <si>
    <t>FRIST NAME</t>
  </si>
  <si>
    <t>LAST NAME</t>
  </si>
  <si>
    <t>FULL NAME</t>
  </si>
  <si>
    <t>Returns</t>
  </si>
  <si>
    <t>Best Used For</t>
  </si>
  <si>
    <t>TODAY()</t>
  </si>
  <si>
    <r>
      <t xml:space="preserve">Current </t>
    </r>
    <r>
      <rPr>
        <b/>
        <sz val="11"/>
        <color theme="1"/>
        <rFont val="Calibri"/>
        <family val="2"/>
        <scheme val="minor"/>
      </rPr>
      <t>date</t>
    </r>
  </si>
  <si>
    <t>Age calculation, deadlines, day difference</t>
  </si>
  <si>
    <t>NOW()</t>
  </si>
  <si>
    <r>
      <t xml:space="preserve">Current </t>
    </r>
    <r>
      <rPr>
        <b/>
        <sz val="11"/>
        <color theme="1"/>
        <rFont val="Calibri"/>
        <family val="2"/>
        <scheme val="minor"/>
      </rPr>
      <t>date + time</t>
    </r>
  </si>
  <si>
    <t>Time logs, timestamps, real-time clocks</t>
  </si>
  <si>
    <r>
      <t xml:space="preserve">Returns </t>
    </r>
    <r>
      <rPr>
        <b/>
        <sz val="11"/>
        <color theme="1"/>
        <rFont val="Calibri"/>
        <family val="2"/>
        <scheme val="minor"/>
      </rPr>
      <t>only the current date</t>
    </r>
    <r>
      <rPr>
        <sz val="11"/>
        <color theme="1"/>
        <rFont val="Calibri"/>
        <family val="2"/>
        <scheme val="minor"/>
      </rPr>
      <t>.</t>
    </r>
  </si>
  <si>
    <r>
      <t xml:space="preserve">Does </t>
    </r>
    <r>
      <rPr>
        <b/>
        <sz val="11"/>
        <color theme="1"/>
        <rFont val="Calibri"/>
        <family val="2"/>
        <scheme val="minor"/>
      </rPr>
      <t>not</t>
    </r>
    <r>
      <rPr>
        <sz val="11"/>
        <color theme="1"/>
        <rFont val="Calibri"/>
        <family val="2"/>
        <scheme val="minor"/>
      </rPr>
      <t xml:space="preserve"> include the time.</t>
    </r>
  </si>
  <si>
    <t>To calculate how many days are left until a deadline:</t>
  </si>
  <si>
    <r>
      <t xml:space="preserve">Returns the </t>
    </r>
    <r>
      <rPr>
        <b/>
        <sz val="11"/>
        <color theme="1"/>
        <rFont val="Calibri"/>
        <family val="2"/>
        <scheme val="minor"/>
      </rPr>
      <t>current date and the current time</t>
    </r>
    <r>
      <rPr>
        <sz val="11"/>
        <color theme="1"/>
        <rFont val="Calibri"/>
        <family val="2"/>
        <scheme val="minor"/>
      </rPr>
      <t>.</t>
    </r>
  </si>
  <si>
    <t>Includes hours, minutes, and seconds.</t>
  </si>
  <si>
    <t>To insert a timestamp showing when an entry was made:</t>
  </si>
  <si>
    <t>DEADLINE DATE</t>
  </si>
  <si>
    <t xml:space="preserve"> a.) Difference Between TODAY() and NOW() in Excel</t>
  </si>
  <si>
    <r>
      <t xml:space="preserve">When a cell contains </t>
    </r>
    <r>
      <rPr>
        <b/>
        <sz val="11"/>
        <color theme="1"/>
        <rFont val="Calibri"/>
        <family val="2"/>
        <scheme val="minor"/>
      </rPr>
      <t>=TODAY()</t>
    </r>
    <r>
      <rPr>
        <sz val="11"/>
        <color theme="1"/>
        <rFont val="Calibri"/>
        <family val="2"/>
        <scheme val="minor"/>
      </rPr>
      <t xml:space="preserve">, it always returns the </t>
    </r>
    <r>
      <rPr>
        <b/>
        <sz val="11"/>
        <color theme="1"/>
        <rFont val="Calibri"/>
        <family val="2"/>
        <scheme val="minor"/>
      </rPr>
      <t>current date</t>
    </r>
    <r>
      <rPr>
        <sz val="11"/>
        <color theme="1"/>
        <rFont val="Calibri"/>
        <family val="2"/>
        <scheme val="minor"/>
      </rPr>
      <t xml:space="preserve"> based on your system’s clock.</t>
    </r>
  </si>
  <si>
    <r>
      <t xml:space="preserve">When you open the Excel file the next day, </t>
    </r>
    <r>
      <rPr>
        <b/>
        <sz val="11"/>
        <color theme="1"/>
        <rFont val="Calibri"/>
        <family val="2"/>
        <scheme val="minor"/>
      </rPr>
      <t>the value will automatically update to the new current date</t>
    </r>
    <r>
      <rPr>
        <sz val="11"/>
        <color theme="1"/>
        <rFont val="Calibri"/>
        <family val="2"/>
        <scheme val="minor"/>
      </rPr>
      <t>.</t>
    </r>
  </si>
  <si>
    <r>
      <t>TODAY()</t>
    </r>
    <r>
      <rPr>
        <sz val="11"/>
        <color theme="1"/>
        <rFont val="Calibri"/>
        <family val="2"/>
        <scheme val="minor"/>
      </rPr>
      <t xml:space="preserve"> is a </t>
    </r>
    <r>
      <rPr>
        <i/>
        <sz val="11"/>
        <color theme="1"/>
        <rFont val="Calibri"/>
        <family val="2"/>
        <scheme val="minor"/>
      </rPr>
      <t>volatile function</t>
    </r>
    <r>
      <rPr>
        <sz val="11"/>
        <color theme="1"/>
        <rFont val="Calibri"/>
        <family val="2"/>
        <scheme val="minor"/>
      </rPr>
      <t>, meaning it recalculates every time the workbook is opened or refreshed.</t>
    </r>
  </si>
  <si>
    <r>
      <t xml:space="preserve">When you reopen it tomorrow (2025-12-10), the same cell will now show </t>
    </r>
    <r>
      <rPr>
        <b/>
        <sz val="11"/>
        <color theme="1"/>
        <rFont val="Calibri"/>
        <family val="2"/>
        <scheme val="minor"/>
      </rPr>
      <t>10-Dec-2025</t>
    </r>
    <r>
      <rPr>
        <sz val="11"/>
        <color theme="1"/>
        <rFont val="Calibri"/>
        <family val="2"/>
        <scheme val="minor"/>
      </rPr>
      <t>.</t>
    </r>
  </si>
  <si>
    <t>The date updates automatically to always show the current day.</t>
  </si>
  <si>
    <t>• In short:</t>
  </si>
  <si>
    <t>• What happens when you reopen the worksheet the next day?</t>
  </si>
  <si>
    <t>• Explanation</t>
  </si>
  <si>
    <r>
      <t xml:space="preserve">So if today is </t>
    </r>
    <r>
      <rPr>
        <b/>
        <sz val="11"/>
        <color theme="1"/>
        <rFont val="Calibri"/>
        <family val="2"/>
        <scheme val="minor"/>
      </rPr>
      <t>09-12-2025</t>
    </r>
    <r>
      <rPr>
        <sz val="11"/>
        <color theme="1"/>
        <rFont val="Calibri"/>
        <family val="2"/>
        <scheme val="minor"/>
      </rPr>
      <t xml:space="preserve">, the cell shows </t>
    </r>
    <r>
      <rPr>
        <b/>
        <sz val="11"/>
        <color theme="1"/>
        <rFont val="Calibri"/>
        <family val="2"/>
        <scheme val="minor"/>
      </rPr>
      <t>09-Dec-2025</t>
    </r>
    <r>
      <rPr>
        <sz val="11"/>
        <color theme="1"/>
        <rFont val="Calibri"/>
        <family val="2"/>
        <scheme val="minor"/>
      </rPr>
      <t>.</t>
    </r>
  </si>
  <si>
    <r>
      <t xml:space="preserve">To insert a </t>
    </r>
    <r>
      <rPr>
        <b/>
        <sz val="11"/>
        <color theme="1"/>
        <rFont val="Calibri"/>
        <family val="2"/>
        <scheme val="minor"/>
      </rPr>
      <t>static date</t>
    </r>
    <r>
      <rPr>
        <sz val="11"/>
        <color theme="1"/>
        <rFont val="Calibri"/>
        <family val="2"/>
        <scheme val="minor"/>
      </rPr>
      <t xml:space="preserve"> in a cell (a date that </t>
    </r>
    <r>
      <rPr>
        <i/>
        <sz val="11"/>
        <color theme="1"/>
        <rFont val="Calibri"/>
        <family val="2"/>
        <scheme val="minor"/>
      </rPr>
      <t>does not change</t>
    </r>
    <r>
      <rPr>
        <sz val="11"/>
        <color theme="1"/>
        <rFont val="Calibri"/>
        <family val="2"/>
        <scheme val="minor"/>
      </rPr>
      <t>), use this keyboard shortcut:</t>
    </r>
  </si>
  <si>
    <t>Ctrl + ;</t>
  </si>
  <si>
    <r>
      <t xml:space="preserve">(Press </t>
    </r>
    <r>
      <rPr>
        <b/>
        <sz val="11"/>
        <color theme="1"/>
        <rFont val="Calibri"/>
        <family val="2"/>
        <scheme val="minor"/>
      </rPr>
      <t>Control</t>
    </r>
    <r>
      <rPr>
        <sz val="11"/>
        <color theme="1"/>
        <rFont val="Calibri"/>
        <family val="2"/>
        <scheme val="minor"/>
      </rPr>
      <t xml:space="preserve"> and </t>
    </r>
    <r>
      <rPr>
        <b/>
        <sz val="11"/>
        <color theme="1"/>
        <rFont val="Calibri"/>
        <family val="2"/>
        <scheme val="minor"/>
      </rPr>
      <t>semicolon</t>
    </r>
    <r>
      <rPr>
        <sz val="11"/>
        <color theme="1"/>
        <rFont val="Calibri"/>
        <family val="2"/>
        <scheme val="minor"/>
      </rPr>
      <t xml:space="preserve"> together)</t>
    </r>
  </si>
  <si>
    <r>
      <t xml:space="preserve">Inserts the </t>
    </r>
    <r>
      <rPr>
        <b/>
        <sz val="11"/>
        <color theme="1"/>
        <rFont val="Calibri"/>
        <family val="2"/>
        <scheme val="minor"/>
      </rPr>
      <t>current date</t>
    </r>
    <r>
      <rPr>
        <sz val="11"/>
        <color theme="1"/>
        <rFont val="Calibri"/>
        <family val="2"/>
        <scheme val="minor"/>
      </rPr>
      <t xml:space="preserve"> as a fixed value.</t>
    </r>
  </si>
  <si>
    <r>
      <t xml:space="preserve">Unlike </t>
    </r>
    <r>
      <rPr>
        <sz val="10"/>
        <color theme="1"/>
        <rFont val="Arial Unicode MS"/>
      </rPr>
      <t>=TODAY()</t>
    </r>
    <r>
      <rPr>
        <sz val="11"/>
        <color theme="1"/>
        <rFont val="Calibri"/>
        <family val="2"/>
        <scheme val="minor"/>
      </rPr>
      <t xml:space="preserve">, it will </t>
    </r>
    <r>
      <rPr>
        <b/>
        <sz val="11"/>
        <color theme="1"/>
        <rFont val="Calibri"/>
        <family val="2"/>
        <scheme val="minor"/>
      </rPr>
      <t>not change</t>
    </r>
    <r>
      <rPr>
        <sz val="11"/>
        <color theme="1"/>
        <rFont val="Calibri"/>
        <family val="2"/>
        <scheme val="minor"/>
      </rPr>
      <t xml:space="preserve"> when the worksheet is reopened.</t>
    </r>
  </si>
  <si>
    <t>• Keyboard Shortcut for Static Date</t>
  </si>
  <si>
    <t>• What it does:</t>
  </si>
  <si>
    <t>EXAMPLE</t>
  </si>
  <si>
    <t>WE CREATE COMMA-SEPARATED LIST FROM C41:C45</t>
  </si>
  <si>
    <t>COMBINE FIRST NAME AND LAST NAME IN THE FULL NAME COLUMN</t>
  </si>
  <si>
    <t>• USE CONCAT</t>
  </si>
  <si>
    <t>• USE CONCATENATE</t>
  </si>
  <si>
    <t>1. Incorrect Results / Wrong Insights</t>
  </si>
  <si>
    <r>
      <t xml:space="preserve">* Dirty data leads to </t>
    </r>
    <r>
      <rPr>
        <b/>
        <sz val="11"/>
        <color theme="1"/>
        <rFont val="Calibri"/>
        <family val="2"/>
        <scheme val="minor"/>
      </rPr>
      <t>misleading conclusions</t>
    </r>
    <r>
      <rPr>
        <sz val="11"/>
        <color theme="1"/>
        <rFont val="Calibri"/>
        <family val="2"/>
        <scheme val="minor"/>
      </rPr>
      <t>.</t>
    </r>
  </si>
  <si>
    <t>2. Poor Decision-Making</t>
  </si>
  <si>
    <t>* Invest in the wrong products</t>
  </si>
  <si>
    <t>* Target the wrong customers</t>
  </si>
  <si>
    <t>* Misjudge performance</t>
  </si>
  <si>
    <r>
      <t xml:space="preserve">* This can directly cause </t>
    </r>
    <r>
      <rPr>
        <b/>
        <sz val="11"/>
        <color theme="1"/>
        <rFont val="Calibri"/>
        <family val="2"/>
        <scheme val="minor"/>
      </rPr>
      <t>financial loss</t>
    </r>
    <r>
      <rPr>
        <sz val="11"/>
        <color theme="1"/>
        <rFont val="Calibri"/>
        <family val="2"/>
        <scheme val="minor"/>
      </rPr>
      <t>.</t>
    </r>
  </si>
  <si>
    <t>* Overfitting or underfitting</t>
  </si>
  <si>
    <t>* Incorrect predictions</t>
  </si>
  <si>
    <t>* Poor model performance</t>
  </si>
  <si>
    <t xml:space="preserve"> 3. Reduced Accuracy of Models (AI / ML / Forecasting)</t>
  </si>
  <si>
    <t xml:space="preserve"> 4. Loss of Productivity</t>
  </si>
  <si>
    <t xml:space="preserve"> 5. Increased Operational Costs</t>
  </si>
  <si>
    <t xml:space="preserve"> 6. Damaged Business Reputation</t>
  </si>
  <si>
    <t>What each column represents, Data types (text, numbers, dates, etc.), Expected ranges or patterns, This gives context for spotting errors.</t>
  </si>
  <si>
    <t>Missing values can cause wrong results. Commom Methods are :-</t>
  </si>
  <si>
    <t>* Remove rows/columns with too many missing values</t>
  </si>
  <si>
    <t>* Fill (impute) with mean, median, mode</t>
  </si>
  <si>
    <t>* Forward/backward fill (time series)</t>
  </si>
  <si>
    <t>* Replace with “Unknown” for categorical data</t>
  </si>
  <si>
    <t>* Text : Proper case</t>
  </si>
  <si>
    <t>* Numeric : Remove text characters</t>
  </si>
  <si>
    <t>* Dates : Convert to standard date type</t>
  </si>
  <si>
    <t>* This improves sorting and calculations.</t>
  </si>
  <si>
    <t xml:space="preserve"> Akshat   Maurya </t>
  </si>
  <si>
    <t>EMP265489</t>
  </si>
  <si>
    <t>Akshat</t>
  </si>
  <si>
    <t>Maurya</t>
  </si>
  <si>
    <t>Formula: =CONCAT(C70," ",C71)</t>
  </si>
  <si>
    <t>Formula: =MID(C56,4,3)</t>
  </si>
  <si>
    <t>Formula: =RIGHT(C43,3)</t>
  </si>
  <si>
    <t>Formula: =LEFT(C30, 3)</t>
  </si>
  <si>
    <t>Formula: =TRIM(C16)</t>
  </si>
  <si>
    <t>Cell C16 contains:</t>
  </si>
  <si>
    <t>C30 = "EMP265489"</t>
  </si>
  <si>
    <r>
      <t xml:space="preserve">Uses of </t>
    </r>
    <r>
      <rPr>
        <b/>
        <sz val="14"/>
        <color theme="1"/>
        <rFont val="Calibri"/>
        <family val="2"/>
        <scheme val="minor"/>
      </rPr>
      <t>TODAY()</t>
    </r>
    <r>
      <rPr>
        <sz val="14"/>
        <color theme="1"/>
        <rFont val="Calibri"/>
        <family val="2"/>
        <scheme val="minor"/>
      </rPr>
      <t xml:space="preserve"> Function:</t>
    </r>
  </si>
  <si>
    <t>TODAY() returns the current system date.</t>
  </si>
  <si>
    <r>
      <t>TODAY()</t>
    </r>
    <r>
      <rPr>
        <sz val="11"/>
        <color theme="1"/>
        <rFont val="Calibri"/>
        <family val="2"/>
        <scheme val="minor"/>
      </rPr>
      <t xml:space="preserve"> is commonly used to calculate:</t>
    </r>
  </si>
  <si>
    <r>
      <t xml:space="preserve">Age: </t>
    </r>
    <r>
      <rPr>
        <sz val="11"/>
        <color theme="1"/>
        <rFont val="Arial Unicode MS"/>
      </rPr>
      <t>=YEAR(TODAY()) - YEAR(B2)</t>
    </r>
  </si>
  <si>
    <r>
      <t xml:space="preserve">Days until deadline: </t>
    </r>
    <r>
      <rPr>
        <sz val="11"/>
        <color theme="1"/>
        <rFont val="Arial Unicode MS"/>
      </rPr>
      <t>=A2 - TODAY()</t>
    </r>
  </si>
  <si>
    <r>
      <t xml:space="preserve">Days passed: </t>
    </r>
    <r>
      <rPr>
        <sz val="11"/>
        <color theme="1"/>
        <rFont val="Arial Unicode MS"/>
      </rPr>
      <t>=TODAY() - A2</t>
    </r>
  </si>
  <si>
    <r>
      <t xml:space="preserve">You can use </t>
    </r>
    <r>
      <rPr>
        <b/>
        <sz val="11"/>
        <color theme="1"/>
        <rFont val="Calibri"/>
        <family val="2"/>
        <scheme val="minor"/>
      </rPr>
      <t>TODAY()</t>
    </r>
    <r>
      <rPr>
        <sz val="11"/>
        <color theme="1"/>
        <rFont val="Calibri"/>
        <family val="2"/>
        <scheme val="minor"/>
      </rPr>
      <t xml:space="preserve"> inside formulas to:</t>
    </r>
  </si>
  <si>
    <t>WE USE THIS FORMULA =LEFT(D11,5) TO PRINT FIRST 5 CHARACTERS</t>
  </si>
  <si>
    <t>WE USE THIS FORMULA =RIGHT(D17,4) TO PRINT LAST 4 CHARACTERS</t>
  </si>
  <si>
    <t>WE USE THIS FORMULA =MID(D23,6,4) TO PRINT MID "TIPS"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</si>
</sst>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4"/>
      <color theme="1"/>
      <name val="Calibri"/>
      <family val="2"/>
      <scheme val="minor"/>
    </font>
    <font>
      <b/>
      <sz val="14"/>
      <color theme="1"/>
      <name val="Calibri"/>
      <family val="2"/>
      <scheme val="minor"/>
    </font>
    <font>
      <sz val="14"/>
      <color theme="1"/>
      <name val="Arial Unicode MS"/>
    </font>
    <font>
      <sz val="10"/>
      <color theme="1"/>
      <name val="Arial Unicode MS"/>
    </font>
    <font>
      <b/>
      <sz val="12"/>
      <color theme="1"/>
      <name val="Calibri"/>
      <family val="2"/>
      <scheme val="minor"/>
    </font>
    <font>
      <b/>
      <sz val="13.5"/>
      <color theme="1"/>
      <name val="Calibri"/>
      <family val="2"/>
      <scheme val="minor"/>
    </font>
    <font>
      <b/>
      <sz val="10"/>
      <color theme="1"/>
      <name val="Arial Unicode MS"/>
    </font>
    <font>
      <i/>
      <sz val="11"/>
      <color theme="1"/>
      <name val="Calibri"/>
      <family val="2"/>
      <scheme val="minor"/>
    </font>
    <font>
      <b/>
      <i/>
      <sz val="11"/>
      <color theme="1"/>
      <name val="Calibri"/>
      <family val="2"/>
      <scheme val="minor"/>
    </font>
    <font>
      <sz val="11"/>
      <color theme="1"/>
      <name val="Calibri"/>
      <family val="2"/>
      <scheme val="minor"/>
    </font>
    <font>
      <sz val="15"/>
      <color theme="1"/>
      <name val="Calibri"/>
      <family val="2"/>
      <scheme val="minor"/>
    </font>
    <font>
      <b/>
      <sz val="15"/>
      <color theme="0"/>
      <name val="Calibri"/>
      <family val="2"/>
      <scheme val="minor"/>
    </font>
    <font>
      <sz val="11"/>
      <color theme="1"/>
      <name val="Arial Unicode MS"/>
    </font>
  </fonts>
  <fills count="31">
    <fill>
      <patternFill patternType="none"/>
    </fill>
    <fill>
      <patternFill patternType="gray125"/>
    </fill>
    <fill>
      <patternFill patternType="solid">
        <fgColor rgb="FFFFFF00"/>
        <bgColor indexed="64"/>
      </patternFill>
    </fill>
    <fill>
      <gradientFill degree="270">
        <stop position="0">
          <color theme="0"/>
        </stop>
        <stop position="1">
          <color theme="4"/>
        </stop>
      </gradientFill>
    </fill>
    <fill>
      <gradientFill degree="270">
        <stop position="0">
          <color theme="5" tint="0.80001220740379042"/>
        </stop>
        <stop position="1">
          <color theme="9"/>
        </stop>
      </gradientFill>
    </fill>
    <fill>
      <patternFill patternType="solid">
        <fgColor theme="0" tint="-0.14999847407452621"/>
        <bgColor indexed="64"/>
      </patternFill>
    </fill>
    <fill>
      <gradientFill degree="270">
        <stop position="0">
          <color theme="9" tint="0.80001220740379042"/>
        </stop>
        <stop position="1">
          <color theme="7"/>
        </stop>
      </gradientFill>
    </fill>
    <fill>
      <patternFill patternType="solid">
        <fgColor theme="5"/>
        <bgColor indexed="64"/>
      </patternFill>
    </fill>
    <fill>
      <gradientFill degree="270">
        <stop position="0">
          <color theme="7" tint="0.80001220740379042"/>
        </stop>
        <stop position="1">
          <color theme="9"/>
        </stop>
      </gradientFill>
    </fill>
    <fill>
      <patternFill patternType="solid">
        <fgColor theme="7" tint="-0.249977111117893"/>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CC29"/>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3" tint="0.79998168889431442"/>
        <bgColor indexed="64"/>
      </patternFill>
    </fill>
    <fill>
      <gradientFill degree="270">
        <stop position="0">
          <color theme="7" tint="0.59999389629810485"/>
        </stop>
        <stop position="1">
          <color theme="9"/>
        </stop>
      </gradientFill>
    </fill>
    <fill>
      <patternFill patternType="solid">
        <fgColor theme="6" tint="-0.249977111117893"/>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3"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6" fillId="0" borderId="0" applyFont="0" applyFill="0" applyBorder="0" applyAlignment="0" applyProtection="0"/>
  </cellStyleXfs>
  <cellXfs count="188">
    <xf numFmtId="0" fontId="0" fillId="0" borderId="0" xfId="0"/>
    <xf numFmtId="0" fontId="3" fillId="0" borderId="0" xfId="0" applyFont="1"/>
    <xf numFmtId="0" fontId="5" fillId="0" borderId="0" xfId="0" applyFont="1"/>
    <xf numFmtId="0" fontId="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0" xfId="0" applyFont="1" applyAlignment="1">
      <alignment horizontal="center" vertical="center"/>
    </xf>
    <xf numFmtId="0" fontId="8" fillId="0" borderId="5"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xf numFmtId="0" fontId="2" fillId="0" borderId="1" xfId="0" applyFont="1" applyBorder="1" applyAlignment="1">
      <alignment horizontal="center"/>
    </xf>
    <xf numFmtId="0" fontId="0" fillId="0" borderId="0" xfId="0" applyAlignment="1">
      <alignment horizontal="left" vertical="center" indent="2"/>
    </xf>
    <xf numFmtId="0" fontId="1" fillId="0" borderId="0" xfId="0" applyFont="1" applyAlignment="1">
      <alignment horizontal="left" vertical="center" indent="2"/>
    </xf>
    <xf numFmtId="0" fontId="8" fillId="2" borderId="10" xfId="0" applyFont="1" applyFill="1" applyBorder="1"/>
    <xf numFmtId="0" fontId="0" fillId="2" borderId="11" xfId="0" applyFill="1" applyBorder="1"/>
    <xf numFmtId="0" fontId="0" fillId="2" borderId="12" xfId="0" applyFill="1" applyBorder="1"/>
    <xf numFmtId="0" fontId="1" fillId="0" borderId="0" xfId="0" applyFont="1"/>
    <xf numFmtId="0" fontId="11" fillId="0" borderId="0" xfId="0" applyFont="1"/>
    <xf numFmtId="0" fontId="1" fillId="0" borderId="0" xfId="0" applyFont="1" applyAlignment="1">
      <alignment horizontal="center"/>
    </xf>
    <xf numFmtId="0" fontId="1" fillId="2" borderId="13" xfId="0" applyFont="1" applyFill="1" applyBorder="1"/>
    <xf numFmtId="0" fontId="1" fillId="0" borderId="14" xfId="0" applyFont="1" applyBorder="1"/>
    <xf numFmtId="0" fontId="0" fillId="0" borderId="15" xfId="0" applyBorder="1" applyAlignment="1">
      <alignment horizontal="center"/>
    </xf>
    <xf numFmtId="0" fontId="0" fillId="0" borderId="16" xfId="0" applyBorder="1" applyAlignment="1">
      <alignment horizontal="center"/>
    </xf>
    <xf numFmtId="0" fontId="0" fillId="0" borderId="17" xfId="0" applyBorder="1"/>
    <xf numFmtId="0" fontId="0" fillId="0" borderId="18" xfId="0" applyBorder="1"/>
    <xf numFmtId="0" fontId="0" fillId="0" borderId="19" xfId="0" applyBorder="1"/>
    <xf numFmtId="0" fontId="0" fillId="0" borderId="20" xfId="0" applyBorder="1"/>
    <xf numFmtId="0" fontId="1" fillId="0" borderId="20" xfId="0" applyFont="1" applyBorder="1" applyAlignment="1">
      <alignment horizontal="center"/>
    </xf>
    <xf numFmtId="0" fontId="1" fillId="0" borderId="21" xfId="0" applyFont="1" applyBorder="1"/>
    <xf numFmtId="0" fontId="1" fillId="0" borderId="21" xfId="0" applyFont="1" applyBorder="1" applyAlignment="1">
      <alignment horizontal="center"/>
    </xf>
    <xf numFmtId="0" fontId="3" fillId="0" borderId="1" xfId="0" applyFont="1" applyBorder="1" applyAlignment="1">
      <alignment horizontal="center"/>
    </xf>
    <xf numFmtId="0" fontId="1" fillId="0" borderId="12" xfId="0" applyFont="1" applyBorder="1"/>
    <xf numFmtId="0" fontId="0" fillId="0" borderId="10" xfId="0" applyBorder="1"/>
    <xf numFmtId="0" fontId="0" fillId="0" borderId="11" xfId="0" applyBorder="1" applyAlignment="1">
      <alignment horizontal="right"/>
    </xf>
    <xf numFmtId="0" fontId="1" fillId="0" borderId="11" xfId="0" applyFont="1" applyBorder="1"/>
    <xf numFmtId="0" fontId="1" fillId="0" borderId="11" xfId="0" applyFont="1" applyBorder="1" applyAlignment="1">
      <alignment horizontal="center"/>
    </xf>
    <xf numFmtId="0" fontId="1" fillId="0" borderId="12" xfId="0" applyFont="1" applyBorder="1" applyAlignment="1">
      <alignment horizontal="center"/>
    </xf>
    <xf numFmtId="22" fontId="0" fillId="0" borderId="0" xfId="0" applyNumberFormat="1"/>
    <xf numFmtId="14" fontId="0" fillId="0" borderId="0" xfId="0" applyNumberFormat="1"/>
    <xf numFmtId="0" fontId="11" fillId="0" borderId="0" xfId="0" applyFont="1" applyAlignment="1">
      <alignment vertical="center"/>
    </xf>
    <xf numFmtId="0" fontId="5" fillId="3" borderId="1" xfId="0" applyFont="1" applyFill="1" applyBorder="1" applyAlignment="1">
      <alignment horizontal="centerContinuous"/>
    </xf>
    <xf numFmtId="0" fontId="0" fillId="3" borderId="1" xfId="0" applyFill="1" applyBorder="1" applyAlignment="1">
      <alignment horizontal="centerContinuous"/>
    </xf>
    <xf numFmtId="0" fontId="6" fillId="4" borderId="1" xfId="0" applyFont="1" applyFill="1" applyBorder="1" applyAlignment="1">
      <alignment horizontal="left" vertical="center" wrapText="1"/>
    </xf>
    <xf numFmtId="0" fontId="0" fillId="5" borderId="1" xfId="0" applyFill="1" applyBorder="1" applyAlignment="1">
      <alignment horizontal="left"/>
    </xf>
    <xf numFmtId="0" fontId="0" fillId="5" borderId="1" xfId="0" applyFill="1" applyBorder="1" applyAlignment="1">
      <alignment horizontal="left" vertical="center"/>
    </xf>
    <xf numFmtId="0" fontId="1" fillId="5" borderId="1" xfId="0" applyFont="1" applyFill="1" applyBorder="1" applyAlignment="1">
      <alignment horizontal="center"/>
    </xf>
    <xf numFmtId="0" fontId="6" fillId="6" borderId="1" xfId="0" applyFont="1" applyFill="1" applyBorder="1" applyAlignment="1">
      <alignment horizontal="left" vertical="center"/>
    </xf>
    <xf numFmtId="0" fontId="1" fillId="5" borderId="24" xfId="0" applyFont="1" applyFill="1" applyBorder="1" applyAlignment="1">
      <alignment horizontal="center"/>
    </xf>
    <xf numFmtId="0" fontId="1" fillId="5" borderId="25" xfId="0" applyFont="1" applyFill="1" applyBorder="1" applyAlignment="1">
      <alignment horizontal="center"/>
    </xf>
    <xf numFmtId="0" fontId="1" fillId="5" borderId="26" xfId="0" applyFont="1" applyFill="1" applyBorder="1" applyAlignment="1">
      <alignment horizontal="center"/>
    </xf>
    <xf numFmtId="0" fontId="0" fillId="5" borderId="1" xfId="0" applyFill="1" applyBorder="1" applyAlignment="1">
      <alignment horizontal="left" vertical="center" wrapText="1"/>
    </xf>
    <xf numFmtId="0" fontId="8" fillId="7" borderId="1" xfId="0" applyFont="1" applyFill="1" applyBorder="1" applyAlignment="1">
      <alignment horizontal="center" vertical="center"/>
    </xf>
    <xf numFmtId="0" fontId="5" fillId="0" borderId="0" xfId="0" applyFont="1" applyAlignment="1">
      <alignment vertical="center"/>
    </xf>
    <xf numFmtId="0" fontId="7" fillId="8" borderId="1" xfId="0" applyFont="1" applyFill="1" applyBorder="1" applyAlignment="1">
      <alignment vertical="center"/>
    </xf>
    <xf numFmtId="0" fontId="0" fillId="8" borderId="1" xfId="0" applyFill="1" applyBorder="1"/>
    <xf numFmtId="0" fontId="3" fillId="5" borderId="24" xfId="0" applyFont="1" applyFill="1" applyBorder="1" applyAlignment="1">
      <alignment horizontal="left" vertical="center"/>
    </xf>
    <xf numFmtId="0" fontId="3" fillId="5" borderId="25" xfId="0" applyFont="1" applyFill="1" applyBorder="1" applyAlignment="1">
      <alignment horizontal="left" vertical="center"/>
    </xf>
    <xf numFmtId="0" fontId="3" fillId="5" borderId="26" xfId="0" applyFont="1" applyFill="1" applyBorder="1" applyAlignment="1">
      <alignment horizontal="left" vertical="center"/>
    </xf>
    <xf numFmtId="0" fontId="17" fillId="0" borderId="1" xfId="0" applyFont="1" applyBorder="1" applyAlignment="1">
      <alignment horizontal="center" vertical="center"/>
    </xf>
    <xf numFmtId="0" fontId="18" fillId="9" borderId="1" xfId="0" applyFont="1" applyFill="1" applyBorder="1" applyAlignment="1">
      <alignment horizontal="center" vertical="center"/>
    </xf>
    <xf numFmtId="0" fontId="5" fillId="3" borderId="1" xfId="0" applyFont="1" applyFill="1" applyBorder="1" applyAlignment="1">
      <alignment horizontal="center"/>
    </xf>
    <xf numFmtId="0" fontId="6" fillId="10" borderId="1" xfId="0" applyFont="1" applyFill="1" applyBorder="1" applyAlignment="1">
      <alignment horizontal="center" vertical="center"/>
    </xf>
    <xf numFmtId="0" fontId="3" fillId="11" borderId="1" xfId="0" applyFont="1" applyFill="1" applyBorder="1" applyAlignment="1">
      <alignment horizontal="center" wrapText="1"/>
    </xf>
    <xf numFmtId="0" fontId="6" fillId="12" borderId="0" xfId="0" applyFont="1" applyFill="1" applyAlignment="1">
      <alignment horizontal="center" vertical="center" wrapText="1"/>
    </xf>
    <xf numFmtId="0" fontId="8" fillId="13" borderId="0" xfId="0" applyFont="1" applyFill="1" applyAlignment="1">
      <alignment vertical="center"/>
    </xf>
    <xf numFmtId="0" fontId="3" fillId="13" borderId="0" xfId="0" applyFont="1" applyFill="1"/>
    <xf numFmtId="0" fontId="9" fillId="13" borderId="0" xfId="0" applyFont="1" applyFill="1"/>
    <xf numFmtId="0" fontId="6" fillId="10" borderId="0" xfId="0" applyFont="1" applyFill="1" applyAlignment="1">
      <alignment horizontal="center" vertical="center" wrapText="1"/>
    </xf>
    <xf numFmtId="0" fontId="8" fillId="15" borderId="0" xfId="0" applyFont="1" applyFill="1" applyAlignment="1">
      <alignment vertical="center"/>
    </xf>
    <xf numFmtId="0" fontId="3" fillId="15" borderId="0" xfId="0" applyFont="1" applyFill="1"/>
    <xf numFmtId="0" fontId="9" fillId="15" borderId="0" xfId="0" applyFont="1" applyFill="1"/>
    <xf numFmtId="0" fontId="6" fillId="16" borderId="0" xfId="0" applyFont="1" applyFill="1" applyAlignment="1">
      <alignment horizontal="center" vertical="center" wrapText="1"/>
    </xf>
    <xf numFmtId="0" fontId="6" fillId="17" borderId="0" xfId="0" applyFont="1" applyFill="1" applyAlignment="1">
      <alignment horizontal="center" vertical="center" wrapText="1"/>
    </xf>
    <xf numFmtId="0" fontId="8" fillId="18" borderId="0" xfId="0" applyFont="1" applyFill="1" applyAlignment="1">
      <alignment vertical="center"/>
    </xf>
    <xf numFmtId="0" fontId="3" fillId="18" borderId="0" xfId="0" applyFont="1" applyFill="1"/>
    <xf numFmtId="0" fontId="4" fillId="18" borderId="0" xfId="0" applyFont="1" applyFill="1"/>
    <xf numFmtId="0" fontId="9" fillId="18" borderId="0" xfId="0" applyFont="1" applyFill="1" applyAlignment="1">
      <alignment horizontal="left"/>
    </xf>
    <xf numFmtId="0" fontId="6" fillId="19" borderId="0" xfId="0" applyFont="1" applyFill="1" applyAlignment="1">
      <alignment horizontal="center" vertical="center" wrapText="1"/>
    </xf>
    <xf numFmtId="0" fontId="8" fillId="20" borderId="0" xfId="0" applyFont="1" applyFill="1" applyAlignment="1">
      <alignment vertical="center"/>
    </xf>
    <xf numFmtId="0" fontId="3" fillId="20" borderId="0" xfId="0" applyFont="1" applyFill="1"/>
    <xf numFmtId="0" fontId="9" fillId="20" borderId="0" xfId="0" applyFont="1" applyFill="1"/>
    <xf numFmtId="0" fontId="6" fillId="21" borderId="0" xfId="0" applyFont="1" applyFill="1" applyAlignment="1">
      <alignment horizontal="center" vertical="center" wrapText="1"/>
    </xf>
    <xf numFmtId="0" fontId="8" fillId="22" borderId="0" xfId="0" applyFont="1" applyFill="1" applyAlignment="1">
      <alignment vertical="center"/>
    </xf>
    <xf numFmtId="0" fontId="3" fillId="22" borderId="0" xfId="0" applyFont="1" applyFill="1"/>
    <xf numFmtId="0" fontId="9" fillId="22" borderId="0" xfId="0" applyFont="1" applyFill="1"/>
    <xf numFmtId="0" fontId="8" fillId="9" borderId="2" xfId="0" applyFont="1" applyFill="1" applyBorder="1" applyAlignment="1">
      <alignment horizontal="center" vertical="center"/>
    </xf>
    <xf numFmtId="0" fontId="8" fillId="9" borderId="3" xfId="0" applyFont="1" applyFill="1" applyBorder="1" applyAlignment="1">
      <alignment horizontal="center" vertical="center"/>
    </xf>
    <xf numFmtId="0" fontId="8" fillId="9" borderId="4" xfId="0" applyFont="1" applyFill="1" applyBorder="1" applyAlignment="1">
      <alignment horizontal="center" vertical="center"/>
    </xf>
    <xf numFmtId="0" fontId="8" fillId="18" borderId="5" xfId="0" applyFont="1" applyFill="1" applyBorder="1" applyAlignment="1">
      <alignment horizontal="center" vertical="center"/>
    </xf>
    <xf numFmtId="0" fontId="3" fillId="18" borderId="1" xfId="0" applyFont="1" applyFill="1" applyBorder="1" applyAlignment="1">
      <alignment horizontal="center" vertical="center"/>
    </xf>
    <xf numFmtId="0" fontId="3" fillId="18" borderId="6" xfId="0" applyFont="1" applyFill="1" applyBorder="1" applyAlignment="1">
      <alignment horizontal="center" vertical="center"/>
    </xf>
    <xf numFmtId="0" fontId="8" fillId="18" borderId="7" xfId="0" applyFont="1" applyFill="1" applyBorder="1" applyAlignment="1">
      <alignment horizontal="center" vertical="center"/>
    </xf>
    <xf numFmtId="0" fontId="3" fillId="18" borderId="8" xfId="0" applyFont="1" applyFill="1" applyBorder="1" applyAlignment="1">
      <alignment horizontal="center" vertical="center"/>
    </xf>
    <xf numFmtId="0" fontId="3" fillId="18" borderId="9" xfId="0" applyFont="1" applyFill="1" applyBorder="1" applyAlignment="1">
      <alignment horizontal="center" vertical="center"/>
    </xf>
    <xf numFmtId="0" fontId="5" fillId="3" borderId="10" xfId="0" applyFont="1" applyFill="1" applyBorder="1" applyAlignment="1">
      <alignment horizontal="centerContinuous"/>
    </xf>
    <xf numFmtId="0" fontId="0" fillId="3" borderId="11" xfId="0" applyFill="1" applyBorder="1" applyAlignment="1">
      <alignment horizontal="centerContinuous"/>
    </xf>
    <xf numFmtId="0" fontId="0" fillId="3" borderId="12" xfId="0" applyFill="1" applyBorder="1" applyAlignment="1">
      <alignment horizontal="centerContinuous"/>
    </xf>
    <xf numFmtId="0" fontId="3" fillId="23" borderId="1" xfId="0" applyFont="1" applyFill="1" applyBorder="1" applyAlignment="1">
      <alignment horizontal="center" wrapText="1"/>
    </xf>
    <xf numFmtId="0" fontId="0" fillId="22" borderId="0" xfId="0" applyFont="1" applyFill="1"/>
    <xf numFmtId="0" fontId="0" fillId="13" borderId="0" xfId="0" applyFont="1" applyFill="1"/>
    <xf numFmtId="0" fontId="0" fillId="13" borderId="0" xfId="0" applyFill="1"/>
    <xf numFmtId="0" fontId="6" fillId="24" borderId="0" xfId="0" applyFont="1" applyFill="1" applyAlignment="1">
      <alignment horizontal="center" vertical="center"/>
    </xf>
    <xf numFmtId="0" fontId="0" fillId="25" borderId="0" xfId="0" applyFont="1" applyFill="1"/>
    <xf numFmtId="9" fontId="0" fillId="14" borderId="0" xfId="1" applyFont="1" applyFill="1"/>
    <xf numFmtId="0" fontId="0" fillId="14" borderId="0" xfId="0" applyFill="1"/>
    <xf numFmtId="0" fontId="8" fillId="9" borderId="1" xfId="0" applyFont="1" applyFill="1" applyBorder="1" applyAlignment="1">
      <alignment horizontal="center"/>
    </xf>
    <xf numFmtId="0" fontId="5" fillId="3" borderId="10" xfId="0" applyFont="1" applyFill="1" applyBorder="1"/>
    <xf numFmtId="0" fontId="0" fillId="3" borderId="11" xfId="0" applyFill="1" applyBorder="1"/>
    <xf numFmtId="0" fontId="0" fillId="3" borderId="12" xfId="0" applyFill="1" applyBorder="1"/>
    <xf numFmtId="0" fontId="11" fillId="5" borderId="14" xfId="0" applyFont="1" applyFill="1" applyBorder="1"/>
    <xf numFmtId="0" fontId="0" fillId="5" borderId="15" xfId="0" applyFill="1" applyBorder="1"/>
    <xf numFmtId="0" fontId="0" fillId="5" borderId="16" xfId="0" applyFill="1" applyBorder="1"/>
    <xf numFmtId="0" fontId="11" fillId="5" borderId="17" xfId="0" applyFont="1" applyFill="1" applyBorder="1"/>
    <xf numFmtId="0" fontId="0" fillId="5" borderId="0" xfId="0" applyFill="1" applyBorder="1"/>
    <xf numFmtId="0" fontId="0" fillId="5" borderId="18" xfId="0" applyFill="1" applyBorder="1"/>
    <xf numFmtId="0" fontId="11" fillId="5" borderId="19" xfId="0" applyFont="1" applyFill="1" applyBorder="1"/>
    <xf numFmtId="0" fontId="0" fillId="5" borderId="20" xfId="0" applyFill="1" applyBorder="1"/>
    <xf numFmtId="0" fontId="0" fillId="5" borderId="21" xfId="0" applyFill="1" applyBorder="1"/>
    <xf numFmtId="0" fontId="11" fillId="8" borderId="10" xfId="0" applyFont="1" applyFill="1" applyBorder="1"/>
    <xf numFmtId="0" fontId="0" fillId="8" borderId="11" xfId="0" applyFill="1" applyBorder="1"/>
    <xf numFmtId="0" fontId="0" fillId="8" borderId="12" xfId="0" applyFill="1" applyBorder="1"/>
    <xf numFmtId="0" fontId="11" fillId="8" borderId="10" xfId="0" applyFont="1" applyFill="1" applyBorder="1" applyAlignment="1">
      <alignment vertical="center"/>
    </xf>
    <xf numFmtId="0" fontId="0" fillId="8" borderId="11" xfId="0" applyFill="1" applyBorder="1" applyAlignment="1">
      <alignment vertical="center"/>
    </xf>
    <xf numFmtId="0" fontId="0" fillId="8" borderId="12" xfId="0" applyFill="1" applyBorder="1" applyAlignment="1">
      <alignment vertical="center"/>
    </xf>
    <xf numFmtId="0" fontId="0" fillId="11" borderId="15" xfId="0" applyFill="1" applyBorder="1"/>
    <xf numFmtId="0" fontId="0" fillId="11" borderId="16" xfId="0" applyFill="1" applyBorder="1"/>
    <xf numFmtId="0" fontId="1" fillId="11" borderId="17" xfId="0" applyFont="1" applyFill="1" applyBorder="1" applyAlignment="1">
      <alignment horizontal="center" vertical="center"/>
    </xf>
    <xf numFmtId="0" fontId="1" fillId="11" borderId="0" xfId="0" applyFont="1" applyFill="1" applyBorder="1"/>
    <xf numFmtId="0" fontId="0" fillId="11" borderId="0" xfId="0" applyFill="1" applyBorder="1"/>
    <xf numFmtId="0" fontId="0" fillId="11" borderId="18" xfId="0" applyFill="1" applyBorder="1"/>
    <xf numFmtId="0" fontId="0" fillId="11" borderId="19" xfId="0" applyFill="1" applyBorder="1"/>
    <xf numFmtId="0" fontId="0" fillId="11" borderId="20" xfId="0" applyFill="1" applyBorder="1"/>
    <xf numFmtId="0" fontId="0" fillId="11" borderId="21" xfId="0" applyFill="1" applyBorder="1"/>
    <xf numFmtId="0" fontId="1" fillId="11" borderId="14" xfId="0" applyFont="1" applyFill="1" applyBorder="1" applyAlignment="1">
      <alignment horizontal="right"/>
    </xf>
    <xf numFmtId="0" fontId="1" fillId="11" borderId="15" xfId="0" applyFont="1" applyFill="1" applyBorder="1" applyAlignment="1">
      <alignment horizontal="right"/>
    </xf>
    <xf numFmtId="0" fontId="5" fillId="9" borderId="0" xfId="0" applyFont="1" applyFill="1"/>
    <xf numFmtId="0" fontId="1" fillId="26" borderId="13" xfId="0" applyFont="1" applyFill="1" applyBorder="1" applyAlignment="1">
      <alignment horizontal="left" vertical="center"/>
    </xf>
    <xf numFmtId="0" fontId="0" fillId="26" borderId="11" xfId="0" applyFill="1" applyBorder="1"/>
    <xf numFmtId="0" fontId="0" fillId="26" borderId="12" xfId="0" applyFill="1" applyBorder="1"/>
    <xf numFmtId="0" fontId="1" fillId="27" borderId="10" xfId="0" applyFont="1" applyFill="1" applyBorder="1"/>
    <xf numFmtId="0" fontId="0" fillId="27" borderId="11" xfId="0" applyFill="1" applyBorder="1"/>
    <xf numFmtId="0" fontId="0" fillId="27" borderId="12" xfId="0" applyFill="1" applyBorder="1"/>
    <xf numFmtId="0" fontId="3" fillId="27" borderId="22" xfId="0" applyFont="1" applyFill="1" applyBorder="1" applyAlignment="1">
      <alignment horizontal="center"/>
    </xf>
    <xf numFmtId="0" fontId="2" fillId="27" borderId="23" xfId="0" applyFont="1" applyFill="1" applyBorder="1" applyAlignment="1">
      <alignment horizontal="center"/>
    </xf>
    <xf numFmtId="0" fontId="11" fillId="11" borderId="14" xfId="0" applyFont="1" applyFill="1" applyBorder="1"/>
    <xf numFmtId="0" fontId="11" fillId="11" borderId="17" xfId="0" applyFont="1" applyFill="1" applyBorder="1"/>
    <xf numFmtId="0" fontId="11" fillId="11" borderId="19" xfId="0" applyFont="1" applyFill="1" applyBorder="1"/>
    <xf numFmtId="0" fontId="8" fillId="8" borderId="10" xfId="0" applyFont="1" applyFill="1" applyBorder="1"/>
    <xf numFmtId="0" fontId="12" fillId="28" borderId="0" xfId="0" applyFont="1" applyFill="1" applyAlignment="1">
      <alignment vertical="center"/>
    </xf>
    <xf numFmtId="0" fontId="0" fillId="28" borderId="0" xfId="0" applyFill="1"/>
    <xf numFmtId="0" fontId="0" fillId="28" borderId="0" xfId="0" applyFill="1" applyAlignment="1">
      <alignment horizontal="left" vertical="center" indent="1"/>
    </xf>
    <xf numFmtId="0" fontId="1" fillId="28" borderId="0" xfId="0" applyFont="1" applyFill="1"/>
    <xf numFmtId="0" fontId="0" fillId="28" borderId="0" xfId="0" applyFill="1" applyAlignment="1">
      <alignment vertical="center"/>
    </xf>
    <xf numFmtId="14" fontId="1" fillId="28" borderId="0" xfId="0" applyNumberFormat="1" applyFont="1" applyFill="1" applyAlignment="1">
      <alignment horizontal="center"/>
    </xf>
    <xf numFmtId="0" fontId="0" fillId="28" borderId="0" xfId="0" applyFill="1" applyAlignment="1">
      <alignment horizontal="center"/>
    </xf>
    <xf numFmtId="0" fontId="13" fillId="28" borderId="0" xfId="0" applyFont="1" applyFill="1" applyAlignment="1">
      <alignment horizontal="center" vertical="center"/>
    </xf>
    <xf numFmtId="0" fontId="12" fillId="26" borderId="0" xfId="0" applyFont="1" applyFill="1" applyAlignment="1">
      <alignment vertical="center"/>
    </xf>
    <xf numFmtId="0" fontId="0" fillId="26" borderId="0" xfId="0" applyFill="1"/>
    <xf numFmtId="0" fontId="0" fillId="26" borderId="0" xfId="0" applyFill="1" applyAlignment="1">
      <alignment horizontal="left" vertical="center" indent="1"/>
    </xf>
    <xf numFmtId="0" fontId="1" fillId="26" borderId="0" xfId="0" applyFont="1" applyFill="1"/>
    <xf numFmtId="0" fontId="0" fillId="26" borderId="0" xfId="0" applyFill="1" applyAlignment="1">
      <alignment vertical="center"/>
    </xf>
    <xf numFmtId="22" fontId="13" fillId="26" borderId="0" xfId="0" applyNumberFormat="1" applyFont="1" applyFill="1" applyAlignment="1">
      <alignment horizontal="center" vertical="center"/>
    </xf>
    <xf numFmtId="0" fontId="1" fillId="26" borderId="1" xfId="0" applyFont="1" applyFill="1" applyBorder="1" applyAlignment="1">
      <alignment horizontal="left" vertical="center"/>
    </xf>
    <xf numFmtId="0" fontId="1" fillId="26" borderId="1" xfId="0" applyFont="1" applyFill="1" applyBorder="1" applyAlignment="1">
      <alignment horizontal="centerContinuous" vertical="center"/>
    </xf>
    <xf numFmtId="0" fontId="0" fillId="26" borderId="1" xfId="0" applyFill="1" applyBorder="1" applyAlignment="1">
      <alignment horizontal="centerContinuous"/>
    </xf>
    <xf numFmtId="0" fontId="0" fillId="26" borderId="1" xfId="0" applyFill="1" applyBorder="1" applyAlignment="1">
      <alignment horizontal="left" vertical="center"/>
    </xf>
    <xf numFmtId="0" fontId="0" fillId="26" borderId="1" xfId="0" applyFill="1" applyBorder="1" applyAlignment="1">
      <alignment horizontal="centerContinuous" vertical="center"/>
    </xf>
    <xf numFmtId="0" fontId="1" fillId="15" borderId="0" xfId="0" applyFont="1" applyFill="1" applyAlignment="1">
      <alignment horizontal="center"/>
    </xf>
    <xf numFmtId="14" fontId="0" fillId="15" borderId="0" xfId="0" applyNumberFormat="1" applyFill="1" applyAlignment="1">
      <alignment horizontal="center"/>
    </xf>
    <xf numFmtId="0" fontId="0" fillId="15" borderId="0" xfId="0" applyFill="1"/>
    <xf numFmtId="0" fontId="1" fillId="15" borderId="0" xfId="0" applyFont="1" applyFill="1" applyAlignment="1">
      <alignment horizontal="left"/>
    </xf>
    <xf numFmtId="0" fontId="0" fillId="29" borderId="0" xfId="0" applyFill="1"/>
    <xf numFmtId="22" fontId="1" fillId="29" borderId="0" xfId="0" applyNumberFormat="1" applyFont="1" applyFill="1" applyAlignment="1">
      <alignment horizontal="center"/>
    </xf>
    <xf numFmtId="0" fontId="1" fillId="29" borderId="0" xfId="0" applyFont="1" applyFill="1" applyAlignment="1">
      <alignment horizontal="left"/>
    </xf>
    <xf numFmtId="0" fontId="0" fillId="27" borderId="0" xfId="0" applyFill="1"/>
    <xf numFmtId="0" fontId="12" fillId="27" borderId="0" xfId="0" applyFont="1" applyFill="1" applyAlignment="1">
      <alignment vertical="center"/>
    </xf>
    <xf numFmtId="0" fontId="0" fillId="27" borderId="0" xfId="0" applyFill="1" applyAlignment="1">
      <alignment horizontal="left" vertical="center" indent="1"/>
    </xf>
    <xf numFmtId="0" fontId="10" fillId="27" borderId="0" xfId="0" applyFont="1" applyFill="1" applyAlignment="1">
      <alignment horizontal="left" vertical="center" indent="1"/>
    </xf>
    <xf numFmtId="0" fontId="1" fillId="27" borderId="0" xfId="0" applyFont="1" applyFill="1" applyAlignment="1">
      <alignment horizontal="right"/>
    </xf>
    <xf numFmtId="14" fontId="15" fillId="27" borderId="0" xfId="0" applyNumberFormat="1" applyFont="1" applyFill="1" applyAlignment="1">
      <alignment horizontal="center"/>
    </xf>
    <xf numFmtId="0" fontId="1" fillId="27" borderId="0" xfId="0" applyFont="1" applyFill="1"/>
    <xf numFmtId="0" fontId="0" fillId="30" borderId="0" xfId="0" applyFill="1"/>
    <xf numFmtId="0" fontId="12" fillId="30" borderId="0" xfId="0" applyFont="1" applyFill="1" applyAlignment="1">
      <alignment vertical="center"/>
    </xf>
    <xf numFmtId="0" fontId="1" fillId="30" borderId="0" xfId="0" applyFont="1" applyFill="1"/>
    <xf numFmtId="0" fontId="0" fillId="30" borderId="0" xfId="0" applyFill="1" applyAlignment="1">
      <alignment horizontal="left" vertical="center" indent="1"/>
    </xf>
    <xf numFmtId="14" fontId="0" fillId="30" borderId="0" xfId="0" applyNumberFormat="1" applyFill="1"/>
  </cellXfs>
  <cellStyles count="2">
    <cellStyle name="Normal" xfId="0" builtinId="0"/>
    <cellStyle name="Percent" xfId="1" builtinId="5"/>
  </cellStyles>
  <dxfs count="0"/>
  <tableStyles count="0" defaultTableStyle="TableStyleMedium2" defaultPivotStyle="PivotStyleLight16"/>
  <colors>
    <mruColors>
      <color rgb="FFFFCC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59"/>
  <sheetViews>
    <sheetView showGridLines="0" tabSelected="1" workbookViewId="0">
      <selection activeCell="B1" sqref="B1"/>
    </sheetView>
  </sheetViews>
  <sheetFormatPr defaultRowHeight="15"/>
  <cols>
    <col min="2" max="2" width="20.5703125" customWidth="1"/>
    <col min="3" max="3" width="44.140625" customWidth="1"/>
  </cols>
  <sheetData>
    <row r="2" spans="1:10" ht="21">
      <c r="A2" s="2" t="s">
        <v>1</v>
      </c>
      <c r="B2" s="42" t="s">
        <v>0</v>
      </c>
      <c r="C2" s="43"/>
      <c r="D2" s="43"/>
      <c r="E2" s="43"/>
      <c r="F2" s="43"/>
      <c r="G2" s="43"/>
      <c r="H2" s="43"/>
      <c r="I2" s="43"/>
      <c r="J2" s="43"/>
    </row>
    <row r="4" spans="1:10" ht="21">
      <c r="A4" s="2" t="s">
        <v>7</v>
      </c>
      <c r="B4" s="2" t="s">
        <v>8</v>
      </c>
    </row>
    <row r="6" spans="1:10">
      <c r="C6" t="s">
        <v>2</v>
      </c>
    </row>
    <row r="8" spans="1:10" ht="23.25">
      <c r="C8" s="44" t="s">
        <v>235</v>
      </c>
      <c r="D8" s="44"/>
      <c r="E8" s="44"/>
      <c r="F8" s="44"/>
      <c r="G8" s="44"/>
      <c r="H8" s="44"/>
      <c r="I8" s="44"/>
      <c r="J8" s="44"/>
    </row>
    <row r="9" spans="1:10">
      <c r="C9" s="45" t="s">
        <v>236</v>
      </c>
      <c r="D9" s="45"/>
      <c r="E9" s="45"/>
      <c r="F9" s="45"/>
      <c r="G9" s="45"/>
      <c r="H9" s="45"/>
      <c r="I9" s="45"/>
      <c r="J9" s="45"/>
    </row>
    <row r="10" spans="1:10">
      <c r="C10" s="45" t="s">
        <v>3</v>
      </c>
      <c r="D10" s="45"/>
      <c r="E10" s="45"/>
      <c r="F10" s="45"/>
      <c r="G10" s="45"/>
      <c r="H10" s="45"/>
      <c r="I10" s="45"/>
      <c r="J10" s="45"/>
    </row>
    <row r="14" spans="1:10" ht="23.25">
      <c r="C14" s="44" t="s">
        <v>237</v>
      </c>
      <c r="D14" s="44"/>
      <c r="E14" s="44"/>
      <c r="F14" s="44"/>
      <c r="G14" s="44"/>
      <c r="H14" s="44"/>
      <c r="I14" s="44"/>
      <c r="J14" s="44"/>
    </row>
    <row r="15" spans="1:10">
      <c r="C15" s="47" t="s">
        <v>4</v>
      </c>
      <c r="D15" s="47"/>
      <c r="E15" s="47"/>
      <c r="F15" s="47"/>
      <c r="G15" s="47"/>
      <c r="H15" s="47"/>
      <c r="I15" s="47"/>
      <c r="J15" s="47"/>
    </row>
    <row r="16" spans="1:10">
      <c r="C16" s="46" t="s">
        <v>238</v>
      </c>
      <c r="D16" s="46"/>
      <c r="E16" s="46"/>
      <c r="F16" s="46"/>
      <c r="G16" s="46"/>
      <c r="H16" s="46"/>
      <c r="I16" s="46"/>
      <c r="J16" s="46"/>
    </row>
    <row r="17" spans="3:10">
      <c r="C17" s="46" t="s">
        <v>239</v>
      </c>
      <c r="D17" s="46"/>
      <c r="E17" s="46"/>
      <c r="F17" s="46"/>
      <c r="G17" s="46"/>
      <c r="H17" s="46"/>
      <c r="I17" s="46"/>
      <c r="J17" s="46"/>
    </row>
    <row r="18" spans="3:10">
      <c r="C18" s="46" t="s">
        <v>240</v>
      </c>
      <c r="D18" s="46"/>
      <c r="E18" s="46"/>
      <c r="F18" s="46"/>
      <c r="G18" s="46"/>
      <c r="H18" s="46"/>
      <c r="I18" s="46"/>
      <c r="J18" s="46"/>
    </row>
    <row r="19" spans="3:10">
      <c r="C19" s="45" t="s">
        <v>241</v>
      </c>
      <c r="D19" s="45"/>
      <c r="E19" s="45"/>
      <c r="F19" s="45"/>
      <c r="G19" s="45"/>
      <c r="H19" s="45"/>
      <c r="I19" s="45"/>
      <c r="J19" s="45"/>
    </row>
    <row r="21" spans="3:10" ht="23.25">
      <c r="C21" s="44" t="s">
        <v>245</v>
      </c>
      <c r="D21" s="44"/>
      <c r="E21" s="44"/>
      <c r="F21" s="44"/>
      <c r="G21" s="44"/>
      <c r="H21" s="44"/>
      <c r="I21" s="44"/>
      <c r="J21" s="44"/>
    </row>
    <row r="22" spans="3:10">
      <c r="C22" s="47" t="s">
        <v>5</v>
      </c>
      <c r="D22" s="47"/>
      <c r="E22" s="47"/>
      <c r="F22" s="47"/>
      <c r="G22" s="47"/>
      <c r="H22" s="47"/>
      <c r="I22" s="47"/>
      <c r="J22" s="47"/>
    </row>
    <row r="23" spans="3:10">
      <c r="C23" s="46" t="s">
        <v>242</v>
      </c>
      <c r="D23" s="46"/>
      <c r="E23" s="46"/>
      <c r="F23" s="46"/>
      <c r="G23" s="46"/>
      <c r="H23" s="46"/>
      <c r="I23" s="46"/>
      <c r="J23" s="46"/>
    </row>
    <row r="24" spans="3:10">
      <c r="C24" s="46" t="s">
        <v>243</v>
      </c>
      <c r="D24" s="46"/>
      <c r="E24" s="46"/>
      <c r="F24" s="46"/>
      <c r="G24" s="46"/>
      <c r="H24" s="46"/>
      <c r="I24" s="46"/>
      <c r="J24" s="46"/>
    </row>
    <row r="25" spans="3:10">
      <c r="C25" s="46" t="s">
        <v>244</v>
      </c>
      <c r="D25" s="46"/>
      <c r="E25" s="46"/>
      <c r="F25" s="46"/>
      <c r="G25" s="46"/>
      <c r="H25" s="46"/>
      <c r="I25" s="46"/>
      <c r="J25" s="46"/>
    </row>
    <row r="27" spans="3:10" ht="23.25">
      <c r="C27" s="44" t="s">
        <v>246</v>
      </c>
      <c r="D27" s="44"/>
      <c r="E27" s="44"/>
      <c r="F27" s="44"/>
      <c r="G27" s="44"/>
      <c r="H27" s="44"/>
      <c r="I27" s="44"/>
      <c r="J27" s="44"/>
    </row>
    <row r="28" spans="3:10">
      <c r="C28" s="47" t="s">
        <v>6</v>
      </c>
      <c r="D28" s="47"/>
      <c r="E28" s="47"/>
      <c r="F28" s="47"/>
      <c r="G28" s="47"/>
      <c r="H28" s="47"/>
      <c r="I28" s="47"/>
      <c r="J28" s="47"/>
    </row>
    <row r="30" spans="3:10" ht="23.25">
      <c r="C30" s="44" t="s">
        <v>247</v>
      </c>
      <c r="D30" s="44"/>
      <c r="E30" s="44"/>
      <c r="F30" s="44"/>
      <c r="G30" s="44"/>
      <c r="H30" s="44"/>
      <c r="I30" s="44"/>
      <c r="J30" s="44"/>
    </row>
    <row r="32" spans="3:10" ht="23.25">
      <c r="C32" s="44" t="s">
        <v>248</v>
      </c>
      <c r="D32" s="44"/>
      <c r="E32" s="44"/>
      <c r="F32" s="44"/>
      <c r="G32" s="44"/>
      <c r="H32" s="44"/>
      <c r="I32" s="44"/>
      <c r="J32" s="44"/>
    </row>
    <row r="35" spans="2:10" ht="21">
      <c r="B35" s="2" t="s">
        <v>9</v>
      </c>
    </row>
    <row r="37" spans="2:10" ht="23.25">
      <c r="C37" s="48" t="s">
        <v>10</v>
      </c>
      <c r="D37" s="48"/>
      <c r="E37" s="48"/>
      <c r="F37" s="48"/>
      <c r="G37" s="48"/>
      <c r="H37" s="48"/>
      <c r="I37" s="48"/>
      <c r="J37" s="48"/>
    </row>
    <row r="38" spans="2:10">
      <c r="C38" s="49" t="s">
        <v>11</v>
      </c>
      <c r="D38" s="50"/>
      <c r="E38" s="50"/>
      <c r="F38" s="50"/>
      <c r="G38" s="50"/>
      <c r="H38" s="50"/>
      <c r="I38" s="50"/>
      <c r="J38" s="51"/>
    </row>
    <row r="39" spans="2:10" ht="33" customHeight="1">
      <c r="C39" s="52" t="s">
        <v>249</v>
      </c>
      <c r="D39" s="52"/>
      <c r="E39" s="52"/>
      <c r="F39" s="52"/>
      <c r="G39" s="52"/>
      <c r="H39" s="52"/>
      <c r="I39" s="52"/>
      <c r="J39" s="52"/>
    </row>
    <row r="41" spans="2:10" ht="23.25">
      <c r="C41" s="48" t="s">
        <v>12</v>
      </c>
      <c r="D41" s="48"/>
      <c r="E41" s="48"/>
      <c r="F41" s="48"/>
      <c r="G41" s="48"/>
      <c r="H41" s="48"/>
      <c r="I41" s="48"/>
      <c r="J41" s="48"/>
    </row>
    <row r="42" spans="2:10">
      <c r="C42" s="47" t="s">
        <v>250</v>
      </c>
      <c r="D42" s="47"/>
      <c r="E42" s="47"/>
      <c r="F42" s="47"/>
      <c r="G42" s="47"/>
      <c r="H42" s="47"/>
      <c r="I42" s="47"/>
      <c r="J42" s="47"/>
    </row>
    <row r="43" spans="2:10">
      <c r="C43" s="46" t="s">
        <v>251</v>
      </c>
      <c r="D43" s="46"/>
      <c r="E43" s="46"/>
      <c r="F43" s="46"/>
      <c r="G43" s="46"/>
      <c r="H43" s="46"/>
      <c r="I43" s="46"/>
      <c r="J43" s="46"/>
    </row>
    <row r="44" spans="2:10">
      <c r="C44" s="46" t="s">
        <v>252</v>
      </c>
      <c r="D44" s="46"/>
      <c r="E44" s="46"/>
      <c r="F44" s="46"/>
      <c r="G44" s="46"/>
      <c r="H44" s="46"/>
      <c r="I44" s="46"/>
      <c r="J44" s="46"/>
    </row>
    <row r="45" spans="2:10">
      <c r="C45" s="46" t="s">
        <v>253</v>
      </c>
      <c r="D45" s="46"/>
      <c r="E45" s="46"/>
      <c r="F45" s="46"/>
      <c r="G45" s="46"/>
      <c r="H45" s="46"/>
      <c r="I45" s="46"/>
      <c r="J45" s="46"/>
    </row>
    <row r="46" spans="2:10">
      <c r="C46" s="46" t="s">
        <v>254</v>
      </c>
      <c r="D46" s="46"/>
      <c r="E46" s="46"/>
      <c r="F46" s="46"/>
      <c r="G46" s="46"/>
      <c r="H46" s="46"/>
      <c r="I46" s="46"/>
      <c r="J46" s="46"/>
    </row>
    <row r="48" spans="2:10" ht="23.25">
      <c r="C48" s="48" t="s">
        <v>13</v>
      </c>
      <c r="D48" s="48"/>
      <c r="E48" s="48"/>
      <c r="F48" s="48"/>
      <c r="G48" s="48"/>
      <c r="H48" s="48"/>
      <c r="I48" s="48"/>
      <c r="J48" s="48"/>
    </row>
    <row r="50" spans="3:10" ht="23.25">
      <c r="C50" s="48" t="s">
        <v>17</v>
      </c>
      <c r="D50" s="48"/>
      <c r="E50" s="48"/>
      <c r="F50" s="48"/>
      <c r="G50" s="48"/>
      <c r="H50" s="48"/>
      <c r="I50" s="48"/>
      <c r="J50" s="48"/>
    </row>
    <row r="52" spans="3:10" ht="23.25">
      <c r="C52" s="48" t="s">
        <v>14</v>
      </c>
      <c r="D52" s="48"/>
      <c r="E52" s="48"/>
      <c r="F52" s="48"/>
      <c r="G52" s="48"/>
      <c r="H52" s="48"/>
      <c r="I52" s="48"/>
      <c r="J52" s="48"/>
    </row>
    <row r="54" spans="3:10" ht="23.25">
      <c r="C54" s="48" t="s">
        <v>15</v>
      </c>
      <c r="D54" s="48"/>
      <c r="E54" s="48"/>
      <c r="F54" s="48"/>
      <c r="G54" s="48"/>
      <c r="H54" s="48"/>
      <c r="I54" s="48"/>
      <c r="J54" s="48"/>
    </row>
    <row r="55" spans="3:10">
      <c r="C55" s="47" t="s">
        <v>16</v>
      </c>
      <c r="D55" s="47"/>
      <c r="E55" s="47"/>
      <c r="F55" s="47"/>
      <c r="G55" s="47"/>
      <c r="H55" s="47"/>
      <c r="I55" s="47"/>
      <c r="J55" s="47"/>
    </row>
    <row r="56" spans="3:10">
      <c r="C56" s="46" t="s">
        <v>255</v>
      </c>
      <c r="D56" s="46"/>
      <c r="E56" s="46"/>
      <c r="F56" s="46"/>
      <c r="G56" s="46"/>
      <c r="H56" s="46"/>
      <c r="I56" s="46"/>
      <c r="J56" s="46"/>
    </row>
    <row r="57" spans="3:10">
      <c r="C57" s="46" t="s">
        <v>256</v>
      </c>
      <c r="D57" s="46"/>
      <c r="E57" s="46"/>
      <c r="F57" s="46"/>
      <c r="G57" s="46"/>
      <c r="H57" s="46"/>
      <c r="I57" s="46"/>
      <c r="J57" s="46"/>
    </row>
    <row r="58" spans="3:10">
      <c r="C58" s="46" t="s">
        <v>257</v>
      </c>
      <c r="D58" s="46"/>
      <c r="E58" s="46"/>
      <c r="F58" s="46"/>
      <c r="G58" s="46"/>
      <c r="H58" s="46"/>
      <c r="I58" s="46"/>
      <c r="J58" s="46"/>
    </row>
    <row r="59" spans="3:10">
      <c r="C59" s="46" t="s">
        <v>258</v>
      </c>
      <c r="D59" s="46"/>
      <c r="E59" s="46"/>
      <c r="F59" s="46"/>
      <c r="G59" s="46"/>
      <c r="H59" s="46"/>
      <c r="I59" s="46"/>
      <c r="J59" s="46"/>
    </row>
  </sheetData>
  <mergeCells count="36">
    <mergeCell ref="C57:J57"/>
    <mergeCell ref="C58:J58"/>
    <mergeCell ref="C59:J59"/>
    <mergeCell ref="C48:J48"/>
    <mergeCell ref="C50:J50"/>
    <mergeCell ref="C52:J52"/>
    <mergeCell ref="C54:J54"/>
    <mergeCell ref="C55:J55"/>
    <mergeCell ref="C56:J56"/>
    <mergeCell ref="C41:J41"/>
    <mergeCell ref="C42:J42"/>
    <mergeCell ref="C43:J43"/>
    <mergeCell ref="C44:J44"/>
    <mergeCell ref="C45:J45"/>
    <mergeCell ref="C46:J46"/>
    <mergeCell ref="C30:J30"/>
    <mergeCell ref="C32:J32"/>
    <mergeCell ref="C37:J37"/>
    <mergeCell ref="C39:J39"/>
    <mergeCell ref="C38:J38"/>
    <mergeCell ref="C24:J24"/>
    <mergeCell ref="C25:J25"/>
    <mergeCell ref="C22:J22"/>
    <mergeCell ref="C23:J23"/>
    <mergeCell ref="C27:J27"/>
    <mergeCell ref="C28:J28"/>
    <mergeCell ref="C17:J17"/>
    <mergeCell ref="C18:J18"/>
    <mergeCell ref="C19:J19"/>
    <mergeCell ref="C21:J21"/>
    <mergeCell ref="C8:J8"/>
    <mergeCell ref="C9:J9"/>
    <mergeCell ref="C10:J10"/>
    <mergeCell ref="C14:J14"/>
    <mergeCell ref="C15:J15"/>
    <mergeCell ref="C16:J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E106-67D8-4B92-8D8F-73387A8B5583}">
  <dimension ref="A2:R17"/>
  <sheetViews>
    <sheetView showGridLines="0" workbookViewId="0">
      <selection activeCell="B2" sqref="B2"/>
    </sheetView>
  </sheetViews>
  <sheetFormatPr defaultRowHeight="15"/>
  <cols>
    <col min="3" max="3" width="12.42578125" bestFit="1" customWidth="1"/>
    <col min="4" max="4" width="15.28515625" bestFit="1" customWidth="1"/>
    <col min="5" max="5" width="8.140625" bestFit="1" customWidth="1"/>
    <col min="14" max="14" width="15.5703125" bestFit="1" customWidth="1"/>
    <col min="15" max="15" width="19" bestFit="1" customWidth="1"/>
    <col min="16" max="16" width="10" bestFit="1" customWidth="1"/>
  </cols>
  <sheetData>
    <row r="2" spans="1:18" ht="21">
      <c r="A2" s="2" t="s">
        <v>1</v>
      </c>
      <c r="B2" s="42" t="s">
        <v>18</v>
      </c>
      <c r="C2" s="43"/>
      <c r="D2" s="43"/>
      <c r="E2" s="43"/>
      <c r="F2" s="43"/>
      <c r="G2" s="43"/>
      <c r="H2" s="43"/>
      <c r="I2" s="43"/>
      <c r="J2" s="43"/>
      <c r="K2" s="43"/>
      <c r="L2" s="43"/>
      <c r="M2" s="43"/>
      <c r="N2" s="43"/>
      <c r="O2" s="43"/>
      <c r="P2" s="43"/>
      <c r="Q2" s="43"/>
      <c r="R2" s="43"/>
    </row>
    <row r="4" spans="1:18" ht="21">
      <c r="A4" s="2"/>
      <c r="C4" s="53" t="s">
        <v>20</v>
      </c>
      <c r="D4" s="53" t="s">
        <v>21</v>
      </c>
      <c r="E4" s="53" t="s">
        <v>22</v>
      </c>
    </row>
    <row r="5" spans="1:18" ht="15.75">
      <c r="C5" s="6" t="s">
        <v>23</v>
      </c>
      <c r="D5" s="6" t="s">
        <v>26</v>
      </c>
      <c r="E5" s="6">
        <v>4000</v>
      </c>
    </row>
    <row r="6" spans="1:18" ht="15.75">
      <c r="C6" s="6" t="s">
        <v>24</v>
      </c>
      <c r="D6" s="6" t="s">
        <v>27</v>
      </c>
      <c r="E6" s="6">
        <v>5000</v>
      </c>
    </row>
    <row r="7" spans="1:18" ht="15.75">
      <c r="C7" s="6" t="s">
        <v>25</v>
      </c>
      <c r="D7" s="6" t="s">
        <v>26</v>
      </c>
      <c r="E7" s="6">
        <v>2500</v>
      </c>
    </row>
    <row r="10" spans="1:18" ht="31.5">
      <c r="A10" s="54" t="s">
        <v>19</v>
      </c>
      <c r="C10" s="55" t="s">
        <v>28</v>
      </c>
      <c r="D10" s="56"/>
      <c r="E10" s="56"/>
      <c r="F10" s="56"/>
      <c r="G10" s="56"/>
      <c r="H10" s="56"/>
      <c r="I10" s="56"/>
      <c r="J10" s="56"/>
      <c r="K10" s="56"/>
      <c r="N10" s="61" t="s">
        <v>20</v>
      </c>
      <c r="O10" s="61" t="s">
        <v>21</v>
      </c>
      <c r="P10" s="61" t="s">
        <v>22</v>
      </c>
    </row>
    <row r="11" spans="1:18" ht="19.5">
      <c r="C11" s="57" t="s">
        <v>29</v>
      </c>
      <c r="D11" s="58"/>
      <c r="E11" s="58"/>
      <c r="F11" s="58"/>
      <c r="G11" s="58"/>
      <c r="H11" s="58"/>
      <c r="I11" s="58"/>
      <c r="J11" s="58"/>
      <c r="K11" s="59"/>
      <c r="N11" s="60" t="s">
        <v>24</v>
      </c>
      <c r="O11" s="60" t="s">
        <v>27</v>
      </c>
      <c r="P11" s="60">
        <v>5000</v>
      </c>
    </row>
    <row r="12" spans="1:18" ht="19.5">
      <c r="C12" s="57" t="s">
        <v>30</v>
      </c>
      <c r="D12" s="58"/>
      <c r="E12" s="58"/>
      <c r="F12" s="58"/>
      <c r="G12" s="58"/>
      <c r="H12" s="58"/>
      <c r="I12" s="58"/>
      <c r="J12" s="58"/>
      <c r="K12" s="59"/>
      <c r="N12" s="60" t="s">
        <v>23</v>
      </c>
      <c r="O12" s="60" t="s">
        <v>26</v>
      </c>
      <c r="P12" s="60">
        <v>4000</v>
      </c>
    </row>
    <row r="13" spans="1:18" ht="19.5">
      <c r="C13" s="57" t="s">
        <v>31</v>
      </c>
      <c r="D13" s="58"/>
      <c r="E13" s="58"/>
      <c r="F13" s="58"/>
      <c r="G13" s="58"/>
      <c r="H13" s="58"/>
      <c r="I13" s="58"/>
      <c r="J13" s="58"/>
      <c r="K13" s="59"/>
      <c r="N13" s="60" t="s">
        <v>25</v>
      </c>
      <c r="O13" s="60" t="s">
        <v>26</v>
      </c>
      <c r="P13" s="60">
        <v>2500</v>
      </c>
    </row>
    <row r="14" spans="1:18" ht="18.75">
      <c r="C14" s="57" t="s">
        <v>32</v>
      </c>
      <c r="D14" s="58"/>
      <c r="E14" s="58"/>
      <c r="F14" s="58"/>
      <c r="G14" s="58"/>
      <c r="H14" s="58"/>
      <c r="I14" s="58"/>
      <c r="J14" s="58"/>
      <c r="K14" s="59"/>
    </row>
    <row r="15" spans="1:18" ht="18.75">
      <c r="C15" s="57" t="s">
        <v>33</v>
      </c>
      <c r="D15" s="58"/>
      <c r="E15" s="58"/>
      <c r="F15" s="58"/>
      <c r="G15" s="58"/>
      <c r="H15" s="58"/>
      <c r="I15" s="58"/>
      <c r="J15" s="58"/>
      <c r="K15" s="59"/>
    </row>
    <row r="16" spans="1:18" ht="18.75">
      <c r="C16" s="57" t="s">
        <v>34</v>
      </c>
      <c r="D16" s="58"/>
      <c r="E16" s="58"/>
      <c r="F16" s="58"/>
      <c r="G16" s="58"/>
      <c r="H16" s="58"/>
      <c r="I16" s="58"/>
      <c r="J16" s="58"/>
      <c r="K16" s="59"/>
    </row>
    <row r="17" spans="3:11" ht="18.75">
      <c r="C17" s="57" t="s">
        <v>35</v>
      </c>
      <c r="D17" s="58"/>
      <c r="E17" s="58"/>
      <c r="F17" s="58"/>
      <c r="G17" s="58"/>
      <c r="H17" s="58"/>
      <c r="I17" s="58"/>
      <c r="J17" s="58"/>
      <c r="K17" s="59"/>
    </row>
  </sheetData>
  <sortState xmlns:xlrd2="http://schemas.microsoft.com/office/spreadsheetml/2017/richdata2" ref="N11:P13">
    <sortCondition ref="O11:O13"/>
    <sortCondition descending="1" ref="P11:P13"/>
  </sortState>
  <mergeCells count="7">
    <mergeCell ref="C17:K17"/>
    <mergeCell ref="C11:K11"/>
    <mergeCell ref="C12:K12"/>
    <mergeCell ref="C13:K13"/>
    <mergeCell ref="C14:K14"/>
    <mergeCell ref="C15:K15"/>
    <mergeCell ref="C16:K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607AB-D464-4F46-81BB-BC8B6EE6F905}">
  <dimension ref="A2:D83"/>
  <sheetViews>
    <sheetView showGridLines="0" zoomScaleNormal="100" workbookViewId="0">
      <selection activeCell="B1" sqref="B1"/>
    </sheetView>
  </sheetViews>
  <sheetFormatPr defaultRowHeight="18.75"/>
  <cols>
    <col min="2" max="2" width="43.85546875" customWidth="1"/>
    <col min="3" max="3" width="121" style="1" customWidth="1"/>
    <col min="4" max="4" width="39.42578125" bestFit="1" customWidth="1"/>
  </cols>
  <sheetData>
    <row r="2" spans="1:3" ht="21">
      <c r="A2" s="2" t="s">
        <v>1</v>
      </c>
      <c r="B2" s="62" t="s">
        <v>36</v>
      </c>
      <c r="C2" s="62"/>
    </row>
    <row r="4" spans="1:3" ht="23.25">
      <c r="A4" s="8" t="s">
        <v>19</v>
      </c>
      <c r="B4" s="63" t="s">
        <v>76</v>
      </c>
      <c r="C4" s="63"/>
    </row>
    <row r="5" spans="1:3" ht="36.75" customHeight="1">
      <c r="B5" s="64" t="s">
        <v>37</v>
      </c>
      <c r="C5" s="64"/>
    </row>
    <row r="8" spans="1:3" ht="23.25" customHeight="1">
      <c r="B8" s="65" t="s">
        <v>38</v>
      </c>
      <c r="C8" s="66" t="s">
        <v>39</v>
      </c>
    </row>
    <row r="9" spans="1:3">
      <c r="B9" s="65"/>
      <c r="C9" s="67" t="s">
        <v>54</v>
      </c>
    </row>
    <row r="10" spans="1:3">
      <c r="B10" s="65"/>
      <c r="C10" s="67"/>
    </row>
    <row r="11" spans="1:3">
      <c r="B11" s="65"/>
      <c r="C11" s="66" t="s">
        <v>40</v>
      </c>
    </row>
    <row r="12" spans="1:3">
      <c r="B12" s="65"/>
      <c r="C12" s="67" t="s">
        <v>41</v>
      </c>
    </row>
    <row r="13" spans="1:3">
      <c r="B13" s="65"/>
      <c r="C13" s="67"/>
    </row>
    <row r="14" spans="1:3">
      <c r="B14" s="65"/>
      <c r="C14" s="66" t="s">
        <v>42</v>
      </c>
    </row>
    <row r="15" spans="1:3">
      <c r="B15" s="65"/>
      <c r="C15" s="67" t="s">
        <v>268</v>
      </c>
    </row>
    <row r="16" spans="1:3" ht="18">
      <c r="B16" s="65"/>
      <c r="C16" s="68" t="s">
        <v>259</v>
      </c>
    </row>
    <row r="17" spans="2:3">
      <c r="B17" s="65"/>
      <c r="C17" s="67" t="s">
        <v>267</v>
      </c>
    </row>
    <row r="18" spans="2:3">
      <c r="B18" s="65"/>
      <c r="C18" s="67" t="s">
        <v>43</v>
      </c>
    </row>
    <row r="19" spans="2:3" ht="18">
      <c r="B19" s="65"/>
      <c r="C19" s="68" t="str">
        <f>TRIM(C16)</f>
        <v>Akshat Maurya</v>
      </c>
    </row>
    <row r="22" spans="2:3" ht="23.25" customHeight="1">
      <c r="B22" s="73" t="s">
        <v>44</v>
      </c>
      <c r="C22" s="70" t="s">
        <v>39</v>
      </c>
    </row>
    <row r="23" spans="2:3">
      <c r="B23" s="73"/>
      <c r="C23" s="71" t="s">
        <v>55</v>
      </c>
    </row>
    <row r="24" spans="2:3">
      <c r="B24" s="73"/>
      <c r="C24" s="71"/>
    </row>
    <row r="25" spans="2:3">
      <c r="B25" s="73"/>
      <c r="C25" s="70" t="s">
        <v>40</v>
      </c>
    </row>
    <row r="26" spans="2:3">
      <c r="B26" s="73"/>
      <c r="C26" s="71" t="s">
        <v>45</v>
      </c>
    </row>
    <row r="27" spans="2:3">
      <c r="B27" s="73"/>
      <c r="C27" s="71"/>
    </row>
    <row r="28" spans="2:3">
      <c r="B28" s="73"/>
      <c r="C28" s="70" t="s">
        <v>42</v>
      </c>
    </row>
    <row r="29" spans="2:3" ht="18">
      <c r="B29" s="73"/>
      <c r="C29" s="72" t="s">
        <v>269</v>
      </c>
    </row>
    <row r="30" spans="2:3" ht="18">
      <c r="B30" s="73"/>
      <c r="C30" s="72" t="s">
        <v>260</v>
      </c>
    </row>
    <row r="31" spans="2:3">
      <c r="B31" s="73"/>
      <c r="C31" s="71" t="s">
        <v>266</v>
      </c>
    </row>
    <row r="32" spans="2:3">
      <c r="B32" s="73"/>
      <c r="C32" s="71" t="s">
        <v>43</v>
      </c>
    </row>
    <row r="33" spans="2:3" ht="18">
      <c r="B33" s="73"/>
      <c r="C33" s="72" t="str">
        <f>LEFT(C30, 3)</f>
        <v>EMP</v>
      </c>
    </row>
    <row r="36" spans="2:3" ht="46.5" customHeight="1">
      <c r="B36" s="74" t="s">
        <v>46</v>
      </c>
      <c r="C36" s="75" t="s">
        <v>39</v>
      </c>
    </row>
    <row r="37" spans="2:3">
      <c r="B37" s="74"/>
      <c r="C37" s="76" t="s">
        <v>56</v>
      </c>
    </row>
    <row r="38" spans="2:3">
      <c r="B38" s="74"/>
      <c r="C38" s="76"/>
    </row>
    <row r="39" spans="2:3">
      <c r="B39" s="74"/>
      <c r="C39" s="75" t="s">
        <v>40</v>
      </c>
    </row>
    <row r="40" spans="2:3">
      <c r="B40" s="74"/>
      <c r="C40" s="76" t="s">
        <v>47</v>
      </c>
    </row>
    <row r="41" spans="2:3">
      <c r="B41" s="74"/>
      <c r="C41" s="76"/>
    </row>
    <row r="42" spans="2:3">
      <c r="B42" s="74"/>
      <c r="C42" s="75" t="s">
        <v>42</v>
      </c>
    </row>
    <row r="43" spans="2:3" ht="21">
      <c r="B43" s="74"/>
      <c r="C43" s="77" t="s">
        <v>260</v>
      </c>
    </row>
    <row r="44" spans="2:3">
      <c r="B44" s="74"/>
      <c r="C44" s="76" t="s">
        <v>265</v>
      </c>
    </row>
    <row r="45" spans="2:3">
      <c r="B45" s="74"/>
      <c r="C45" s="76" t="s">
        <v>43</v>
      </c>
    </row>
    <row r="46" spans="2:3" ht="18">
      <c r="B46" s="74"/>
      <c r="C46" s="78" t="str">
        <f>RIGHT(C43,3)</f>
        <v>489</v>
      </c>
    </row>
    <row r="49" spans="2:3" ht="46.5" customHeight="1">
      <c r="B49" s="79" t="s">
        <v>48</v>
      </c>
      <c r="C49" s="80" t="s">
        <v>39</v>
      </c>
    </row>
    <row r="50" spans="2:3" ht="18.75" customHeight="1">
      <c r="B50" s="79"/>
      <c r="C50" s="81" t="s">
        <v>57</v>
      </c>
    </row>
    <row r="51" spans="2:3" ht="18.75" customHeight="1">
      <c r="B51" s="79"/>
      <c r="C51" s="81"/>
    </row>
    <row r="52" spans="2:3" ht="18.75" customHeight="1">
      <c r="B52" s="79"/>
      <c r="C52" s="80" t="s">
        <v>40</v>
      </c>
    </row>
    <row r="53" spans="2:3" ht="18.75" customHeight="1">
      <c r="B53" s="79"/>
      <c r="C53" s="81" t="s">
        <v>49</v>
      </c>
    </row>
    <row r="54" spans="2:3" ht="18.75" customHeight="1">
      <c r="B54" s="79"/>
      <c r="C54" s="81"/>
    </row>
    <row r="55" spans="2:3" ht="18.75" customHeight="1">
      <c r="B55" s="79"/>
      <c r="C55" s="80" t="s">
        <v>42</v>
      </c>
    </row>
    <row r="56" spans="2:3" ht="18" customHeight="1">
      <c r="B56" s="79"/>
      <c r="C56" s="82" t="s">
        <v>260</v>
      </c>
    </row>
    <row r="57" spans="2:3" ht="18.75" customHeight="1">
      <c r="B57" s="79"/>
      <c r="C57" s="81" t="s">
        <v>264</v>
      </c>
    </row>
    <row r="58" spans="2:3" ht="18.75" customHeight="1">
      <c r="B58" s="79"/>
      <c r="C58" s="81" t="s">
        <v>43</v>
      </c>
    </row>
    <row r="59" spans="2:3" ht="18" customHeight="1">
      <c r="B59" s="79"/>
      <c r="C59" s="82" t="str">
        <f>MID(C56,4,3)</f>
        <v>265</v>
      </c>
    </row>
    <row r="60" spans="2:3">
      <c r="B60" s="79"/>
      <c r="C60" s="81" t="s">
        <v>50</v>
      </c>
    </row>
    <row r="63" spans="2:3" ht="46.5" customHeight="1">
      <c r="B63" s="83" t="s">
        <v>51</v>
      </c>
      <c r="C63" s="84" t="s">
        <v>39</v>
      </c>
    </row>
    <row r="64" spans="2:3">
      <c r="B64" s="83"/>
      <c r="C64" s="85" t="s">
        <v>52</v>
      </c>
    </row>
    <row r="65" spans="2:4">
      <c r="B65" s="83"/>
      <c r="C65" s="85"/>
    </row>
    <row r="66" spans="2:4">
      <c r="B66" s="83"/>
      <c r="C66" s="84" t="s">
        <v>40</v>
      </c>
    </row>
    <row r="67" spans="2:4">
      <c r="B67" s="83"/>
      <c r="C67" s="85" t="s">
        <v>53</v>
      </c>
    </row>
    <row r="68" spans="2:4">
      <c r="B68" s="83"/>
      <c r="C68" s="85"/>
    </row>
    <row r="69" spans="2:4">
      <c r="B69" s="83"/>
      <c r="C69" s="84" t="s">
        <v>42</v>
      </c>
    </row>
    <row r="70" spans="2:4" ht="18">
      <c r="B70" s="83"/>
      <c r="C70" s="86" t="s">
        <v>261</v>
      </c>
    </row>
    <row r="71" spans="2:4" ht="18">
      <c r="B71" s="83"/>
      <c r="C71" s="86" t="s">
        <v>262</v>
      </c>
    </row>
    <row r="72" spans="2:4">
      <c r="B72" s="83"/>
      <c r="C72" s="85" t="s">
        <v>263</v>
      </c>
    </row>
    <row r="73" spans="2:4">
      <c r="B73" s="83"/>
      <c r="C73" s="85"/>
    </row>
    <row r="74" spans="2:4">
      <c r="B74" s="83"/>
      <c r="C74" s="85" t="s">
        <v>43</v>
      </c>
    </row>
    <row r="75" spans="2:4" ht="18">
      <c r="B75" s="83"/>
      <c r="C75" s="86" t="str">
        <f>_xlfn.CONCAT(C70," ",C71)</f>
        <v>Akshat Maurya</v>
      </c>
    </row>
    <row r="77" spans="2:4" ht="19.5" thickBot="1"/>
    <row r="78" spans="2:4">
      <c r="B78" s="87" t="s">
        <v>58</v>
      </c>
      <c r="C78" s="88" t="s">
        <v>59</v>
      </c>
      <c r="D78" s="89" t="s">
        <v>60</v>
      </c>
    </row>
    <row r="79" spans="2:4">
      <c r="B79" s="90" t="s">
        <v>61</v>
      </c>
      <c r="C79" s="91" t="s">
        <v>62</v>
      </c>
      <c r="D79" s="92" t="s">
        <v>63</v>
      </c>
    </row>
    <row r="80" spans="2:4">
      <c r="B80" s="9" t="s">
        <v>64</v>
      </c>
      <c r="C80" s="7" t="s">
        <v>65</v>
      </c>
      <c r="D80" s="10" t="s">
        <v>66</v>
      </c>
    </row>
    <row r="81" spans="2:4">
      <c r="B81" s="90" t="s">
        <v>67</v>
      </c>
      <c r="C81" s="91" t="s">
        <v>68</v>
      </c>
      <c r="D81" s="92" t="s">
        <v>69</v>
      </c>
    </row>
    <row r="82" spans="2:4">
      <c r="B82" s="9" t="s">
        <v>70</v>
      </c>
      <c r="C82" s="7" t="s">
        <v>71</v>
      </c>
      <c r="D82" s="10" t="s">
        <v>72</v>
      </c>
    </row>
    <row r="83" spans="2:4" ht="19.5" thickBot="1">
      <c r="B83" s="93" t="s">
        <v>73</v>
      </c>
      <c r="C83" s="94" t="s">
        <v>74</v>
      </c>
      <c r="D83" s="95" t="s">
        <v>75</v>
      </c>
    </row>
  </sheetData>
  <mergeCells count="8">
    <mergeCell ref="B49:B60"/>
    <mergeCell ref="B63:B75"/>
    <mergeCell ref="B2:C2"/>
    <mergeCell ref="B4:C4"/>
    <mergeCell ref="B5:C5"/>
    <mergeCell ref="B8:B19"/>
    <mergeCell ref="B22:B33"/>
    <mergeCell ref="B36:B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E791-1A73-4655-8E7A-959695132A30}">
  <dimension ref="A1:L49"/>
  <sheetViews>
    <sheetView showGridLines="0" topLeftCell="A2" workbookViewId="0">
      <selection activeCell="B2" sqref="B2"/>
    </sheetView>
  </sheetViews>
  <sheetFormatPr defaultRowHeight="15"/>
  <cols>
    <col min="2" max="2" width="59.140625" customWidth="1"/>
  </cols>
  <sheetData>
    <row r="1" spans="1:11" ht="15.75" thickBot="1"/>
    <row r="2" spans="1:11" ht="21.75" thickBot="1">
      <c r="A2" s="2" t="s">
        <v>1</v>
      </c>
      <c r="B2" s="96" t="s">
        <v>77</v>
      </c>
      <c r="C2" s="97"/>
      <c r="D2" s="97"/>
      <c r="E2" s="97"/>
      <c r="F2" s="97"/>
      <c r="G2" s="97"/>
      <c r="H2" s="97"/>
      <c r="I2" s="97"/>
      <c r="J2" s="97"/>
      <c r="K2" s="98"/>
    </row>
    <row r="4" spans="1:11" ht="37.5" customHeight="1">
      <c r="A4" s="8" t="s">
        <v>19</v>
      </c>
      <c r="B4" s="99" t="s">
        <v>97</v>
      </c>
      <c r="C4" s="99"/>
      <c r="D4" s="99"/>
      <c r="E4" s="99"/>
      <c r="F4" s="99"/>
      <c r="G4" s="99"/>
      <c r="H4" s="99"/>
      <c r="I4" s="99"/>
      <c r="J4" s="99"/>
      <c r="K4" s="99"/>
    </row>
    <row r="5" spans="1:11" ht="18.75">
      <c r="B5" s="1"/>
    </row>
    <row r="6" spans="1:11" ht="18.75">
      <c r="B6" s="1" t="s">
        <v>270</v>
      </c>
    </row>
    <row r="10" spans="1:11">
      <c r="B10" s="83" t="s">
        <v>78</v>
      </c>
      <c r="C10" s="100" t="s">
        <v>271</v>
      </c>
      <c r="D10" s="100"/>
      <c r="E10" s="100"/>
      <c r="F10" s="100"/>
      <c r="G10" s="100"/>
      <c r="H10" s="100"/>
      <c r="I10" s="100"/>
      <c r="J10" s="100"/>
      <c r="K10" s="100"/>
    </row>
    <row r="11" spans="1:11">
      <c r="B11" s="83"/>
      <c r="C11" s="100" t="s">
        <v>79</v>
      </c>
      <c r="D11" s="100"/>
      <c r="E11" s="100"/>
      <c r="F11" s="100"/>
      <c r="G11" s="100"/>
      <c r="H11" s="100"/>
      <c r="I11" s="100"/>
      <c r="J11" s="100"/>
      <c r="K11" s="100"/>
    </row>
    <row r="12" spans="1:11">
      <c r="B12" s="83"/>
      <c r="C12" s="100" t="s">
        <v>80</v>
      </c>
      <c r="D12" s="100"/>
      <c r="E12" s="100"/>
      <c r="F12" s="100"/>
      <c r="G12" s="100"/>
      <c r="H12" s="100"/>
      <c r="I12" s="100"/>
      <c r="J12" s="100"/>
      <c r="K12" s="100"/>
    </row>
    <row r="14" spans="1:11" ht="18.75">
      <c r="C14" s="1"/>
    </row>
    <row r="17" spans="2:11">
      <c r="B17" s="65" t="s">
        <v>81</v>
      </c>
      <c r="C17" s="101" t="s">
        <v>272</v>
      </c>
      <c r="D17" s="102"/>
      <c r="E17" s="102"/>
      <c r="F17" s="102"/>
      <c r="G17" s="102"/>
      <c r="H17" s="102"/>
      <c r="I17" s="102"/>
      <c r="J17" s="102"/>
      <c r="K17" s="102"/>
    </row>
    <row r="18" spans="2:11">
      <c r="B18" s="65"/>
      <c r="C18" s="101" t="s">
        <v>82</v>
      </c>
      <c r="D18" s="102"/>
      <c r="E18" s="102"/>
      <c r="F18" s="102"/>
      <c r="G18" s="102"/>
      <c r="H18" s="102"/>
      <c r="I18" s="102"/>
      <c r="J18" s="102"/>
      <c r="K18" s="102"/>
    </row>
    <row r="19" spans="2:11">
      <c r="B19" s="65"/>
      <c r="C19" s="101" t="s">
        <v>83</v>
      </c>
      <c r="D19" s="102"/>
      <c r="E19" s="102"/>
      <c r="F19" s="102"/>
      <c r="G19" s="102"/>
      <c r="H19" s="102"/>
      <c r="I19" s="102"/>
      <c r="J19" s="102"/>
      <c r="K19" s="102"/>
    </row>
    <row r="20" spans="2:11">
      <c r="B20" s="65"/>
      <c r="C20" s="101" t="s">
        <v>84</v>
      </c>
      <c r="D20" s="102"/>
      <c r="E20" s="102"/>
      <c r="F20" s="102"/>
      <c r="G20" s="102"/>
      <c r="H20" s="102"/>
      <c r="I20" s="102"/>
      <c r="J20" s="102"/>
      <c r="K20" s="102"/>
    </row>
    <row r="21" spans="2:11">
      <c r="B21" s="65"/>
      <c r="C21" s="101" t="s">
        <v>85</v>
      </c>
      <c r="D21" s="102"/>
      <c r="E21" s="102"/>
      <c r="F21" s="102"/>
      <c r="G21" s="102"/>
      <c r="H21" s="102"/>
      <c r="I21" s="102"/>
      <c r="J21" s="102"/>
      <c r="K21" s="102"/>
    </row>
    <row r="22" spans="2:11">
      <c r="B22" s="65"/>
      <c r="C22" s="101" t="s">
        <v>273</v>
      </c>
      <c r="D22" s="102"/>
      <c r="E22" s="102"/>
      <c r="F22" s="102"/>
      <c r="G22" s="102"/>
      <c r="H22" s="102"/>
      <c r="I22" s="102"/>
      <c r="J22" s="102"/>
      <c r="K22" s="102"/>
    </row>
    <row r="23" spans="2:11">
      <c r="B23" s="65"/>
      <c r="C23" s="101" t="s">
        <v>274</v>
      </c>
      <c r="D23" s="102"/>
      <c r="E23" s="102"/>
      <c r="F23" s="102"/>
      <c r="G23" s="102"/>
      <c r="H23" s="102"/>
      <c r="I23" s="102"/>
      <c r="J23" s="102"/>
      <c r="K23" s="102"/>
    </row>
    <row r="24" spans="2:11">
      <c r="B24" s="65"/>
      <c r="C24" s="101" t="s">
        <v>275</v>
      </c>
      <c r="D24" s="102"/>
      <c r="E24" s="102"/>
      <c r="F24" s="102"/>
      <c r="G24" s="102"/>
      <c r="H24" s="102"/>
      <c r="I24" s="102"/>
      <c r="J24" s="102"/>
      <c r="K24" s="102"/>
    </row>
    <row r="27" spans="2:11" ht="18.75">
      <c r="C27" s="1"/>
    </row>
    <row r="28" spans="2:11" ht="18.75">
      <c r="C28" s="1"/>
    </row>
    <row r="29" spans="2:11" ht="18.75">
      <c r="C29" s="1"/>
    </row>
    <row r="30" spans="2:11">
      <c r="B30" s="103" t="s">
        <v>86</v>
      </c>
      <c r="C30" s="104" t="s">
        <v>276</v>
      </c>
      <c r="D30" s="104"/>
      <c r="E30" s="104"/>
      <c r="F30" s="104"/>
      <c r="G30" s="104"/>
      <c r="H30" s="104"/>
      <c r="I30" s="104"/>
      <c r="J30" s="104"/>
      <c r="K30" s="104"/>
    </row>
    <row r="31" spans="2:11">
      <c r="B31" s="103"/>
      <c r="C31" s="104" t="s">
        <v>87</v>
      </c>
      <c r="D31" s="104"/>
      <c r="E31" s="104"/>
      <c r="F31" s="104"/>
      <c r="G31" s="104"/>
      <c r="H31" s="104"/>
      <c r="I31" s="104"/>
      <c r="J31" s="104"/>
      <c r="K31" s="104"/>
    </row>
    <row r="32" spans="2:11">
      <c r="B32" s="103"/>
      <c r="C32" s="104" t="s">
        <v>88</v>
      </c>
      <c r="D32" s="104"/>
      <c r="E32" s="104"/>
      <c r="F32" s="104"/>
      <c r="G32" s="104"/>
      <c r="H32" s="104"/>
      <c r="I32" s="104"/>
      <c r="J32" s="104"/>
      <c r="K32" s="104"/>
    </row>
    <row r="33" spans="2:11">
      <c r="B33" s="103"/>
      <c r="C33" s="104" t="s">
        <v>89</v>
      </c>
      <c r="D33" s="104"/>
      <c r="E33" s="104"/>
      <c r="F33" s="104"/>
      <c r="G33" s="104"/>
      <c r="H33" s="104"/>
      <c r="I33" s="104"/>
      <c r="J33" s="104"/>
      <c r="K33" s="104"/>
    </row>
    <row r="34" spans="2:11">
      <c r="B34" s="103"/>
      <c r="C34" s="104" t="s">
        <v>96</v>
      </c>
      <c r="D34" s="104"/>
      <c r="E34" s="104"/>
      <c r="F34" s="104"/>
      <c r="G34" s="104"/>
      <c r="H34" s="104"/>
      <c r="I34" s="104"/>
      <c r="J34" s="104"/>
      <c r="K34" s="104"/>
    </row>
    <row r="37" spans="2:11" ht="18.75">
      <c r="C37" s="1"/>
    </row>
    <row r="38" spans="2:11" ht="18.75">
      <c r="C38" s="1"/>
    </row>
    <row r="39" spans="2:11" ht="18.75">
      <c r="C39" s="1"/>
    </row>
    <row r="40" spans="2:11">
      <c r="B40" s="69" t="s">
        <v>90</v>
      </c>
      <c r="C40" s="105" t="s">
        <v>91</v>
      </c>
      <c r="D40" s="106"/>
      <c r="E40" s="106"/>
      <c r="F40" s="106"/>
      <c r="G40" s="106"/>
      <c r="H40" s="106"/>
      <c r="I40" s="106"/>
      <c r="J40" s="106"/>
      <c r="K40" s="106"/>
    </row>
    <row r="41" spans="2:11">
      <c r="B41" s="69"/>
      <c r="C41" s="105" t="s">
        <v>92</v>
      </c>
      <c r="D41" s="106"/>
      <c r="E41" s="106"/>
      <c r="F41" s="106"/>
      <c r="G41" s="106"/>
      <c r="H41" s="106"/>
      <c r="I41" s="106"/>
      <c r="J41" s="106"/>
      <c r="K41" s="106"/>
    </row>
    <row r="42" spans="2:11">
      <c r="B42" s="69"/>
      <c r="C42" s="105" t="s">
        <v>93</v>
      </c>
      <c r="D42" s="106"/>
      <c r="E42" s="106"/>
      <c r="F42" s="106"/>
      <c r="G42" s="106"/>
      <c r="H42" s="106"/>
      <c r="I42" s="106"/>
      <c r="J42" s="106"/>
      <c r="K42" s="106"/>
    </row>
    <row r="43" spans="2:11">
      <c r="B43" s="69"/>
      <c r="C43" s="105" t="s">
        <v>42</v>
      </c>
      <c r="D43" s="106"/>
      <c r="E43" s="106"/>
      <c r="F43" s="106"/>
      <c r="G43" s="106"/>
      <c r="H43" s="106"/>
      <c r="I43" s="106"/>
      <c r="J43" s="106"/>
      <c r="K43" s="106"/>
    </row>
    <row r="44" spans="2:11">
      <c r="B44" s="69"/>
      <c r="C44" s="105" t="s">
        <v>94</v>
      </c>
      <c r="D44" s="106"/>
      <c r="E44" s="106"/>
      <c r="F44" s="106"/>
      <c r="G44" s="106"/>
      <c r="H44" s="106"/>
      <c r="I44" s="106"/>
      <c r="J44" s="106"/>
      <c r="K44" s="106"/>
    </row>
    <row r="45" spans="2:11">
      <c r="B45" s="69"/>
      <c r="C45" s="105" t="s">
        <v>95</v>
      </c>
      <c r="D45" s="106"/>
      <c r="E45" s="106"/>
      <c r="F45" s="106"/>
      <c r="G45" s="106"/>
      <c r="H45" s="106"/>
      <c r="I45" s="106"/>
      <c r="J45" s="106"/>
      <c r="K45" s="106"/>
    </row>
    <row r="48" spans="2:11" ht="18.75">
      <c r="C48" s="1"/>
    </row>
    <row r="49" spans="3:3" ht="18.75">
      <c r="C49" s="1"/>
    </row>
  </sheetData>
  <mergeCells count="5">
    <mergeCell ref="B4:K4"/>
    <mergeCell ref="B10:B12"/>
    <mergeCell ref="B17:B24"/>
    <mergeCell ref="B30:B34"/>
    <mergeCell ref="B40:B4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D36B-A69C-496C-83BA-1FF21C5A1AA9}">
  <dimension ref="A2:Q89"/>
  <sheetViews>
    <sheetView showGridLines="0" workbookViewId="0">
      <selection activeCell="D10" sqref="D10"/>
    </sheetView>
  </sheetViews>
  <sheetFormatPr defaultRowHeight="15"/>
  <cols>
    <col min="2" max="3" width="19.28515625" bestFit="1" customWidth="1"/>
    <col min="4" max="4" width="17.140625" bestFit="1" customWidth="1"/>
    <col min="5" max="5" width="12.42578125" bestFit="1" customWidth="1"/>
    <col min="6" max="6" width="10.7109375" customWidth="1"/>
    <col min="7" max="7" width="17.7109375" customWidth="1"/>
    <col min="8" max="8" width="10.85546875" bestFit="1" customWidth="1"/>
    <col min="9" max="9" width="15.7109375" bestFit="1" customWidth="1"/>
  </cols>
  <sheetData>
    <row r="2" spans="1:7" ht="21">
      <c r="A2" s="2" t="s">
        <v>1</v>
      </c>
      <c r="B2" s="2" t="s">
        <v>122</v>
      </c>
    </row>
    <row r="3" spans="1:7" ht="21">
      <c r="A3" s="2"/>
      <c r="B3" s="2" t="s">
        <v>123</v>
      </c>
    </row>
    <row r="4" spans="1:7" ht="21">
      <c r="A4" s="2"/>
      <c r="B4" s="2" t="s">
        <v>124</v>
      </c>
    </row>
    <row r="5" spans="1:7" ht="21">
      <c r="A5" s="2"/>
      <c r="B5" s="2" t="s">
        <v>125</v>
      </c>
    </row>
    <row r="6" spans="1:7" ht="21">
      <c r="A6" s="2"/>
      <c r="B6" s="2" t="s">
        <v>126</v>
      </c>
    </row>
    <row r="7" spans="1:7" ht="13.5" customHeight="1">
      <c r="A7" s="2"/>
      <c r="B7" s="2"/>
    </row>
    <row r="8" spans="1:7" ht="18.75">
      <c r="C8" s="107" t="s">
        <v>98</v>
      </c>
      <c r="D8" s="107" t="s">
        <v>99</v>
      </c>
      <c r="E8" s="107" t="s">
        <v>100</v>
      </c>
      <c r="F8" s="107" t="s">
        <v>101</v>
      </c>
      <c r="G8" s="107" t="s">
        <v>102</v>
      </c>
    </row>
    <row r="9" spans="1:7" ht="15.75">
      <c r="C9" s="12" t="s">
        <v>103</v>
      </c>
      <c r="D9" s="12" t="s">
        <v>104</v>
      </c>
      <c r="E9" s="12" t="s">
        <v>105</v>
      </c>
      <c r="F9" s="12"/>
      <c r="G9" s="12">
        <v>81</v>
      </c>
    </row>
    <row r="10" spans="1:7" ht="15.75">
      <c r="C10" s="12" t="s">
        <v>106</v>
      </c>
      <c r="D10" s="12" t="s">
        <v>107</v>
      </c>
      <c r="E10" s="12" t="s">
        <v>105</v>
      </c>
      <c r="F10" s="12"/>
      <c r="G10" s="12">
        <v>121</v>
      </c>
    </row>
    <row r="11" spans="1:7" ht="15.75">
      <c r="C11" s="12" t="s">
        <v>108</v>
      </c>
      <c r="D11" s="12" t="s">
        <v>109</v>
      </c>
      <c r="E11" s="12" t="s">
        <v>110</v>
      </c>
      <c r="F11" s="12"/>
      <c r="G11" s="12">
        <v>239</v>
      </c>
    </row>
    <row r="12" spans="1:7" ht="15.75">
      <c r="C12" s="12" t="s">
        <v>111</v>
      </c>
      <c r="D12" s="12" t="s">
        <v>104</v>
      </c>
      <c r="E12" s="12" t="s">
        <v>105</v>
      </c>
      <c r="F12" s="12"/>
      <c r="G12" s="12">
        <v>500</v>
      </c>
    </row>
    <row r="13" spans="1:7" ht="15.75">
      <c r="C13" s="12" t="s">
        <v>112</v>
      </c>
      <c r="D13" s="12" t="s">
        <v>113</v>
      </c>
      <c r="E13" s="12" t="s">
        <v>114</v>
      </c>
      <c r="F13" s="12"/>
      <c r="G13" s="12">
        <v>423</v>
      </c>
    </row>
    <row r="14" spans="1:7" ht="15.75">
      <c r="C14" s="12" t="s">
        <v>115</v>
      </c>
      <c r="D14" s="12" t="s">
        <v>116</v>
      </c>
      <c r="E14" s="12" t="s">
        <v>105</v>
      </c>
      <c r="F14" s="12"/>
      <c r="G14" s="12">
        <v>160</v>
      </c>
    </row>
    <row r="15" spans="1:7" ht="15.75">
      <c r="C15" s="12" t="s">
        <v>117</v>
      </c>
      <c r="D15" s="12" t="s">
        <v>118</v>
      </c>
      <c r="E15" s="12" t="s">
        <v>105</v>
      </c>
      <c r="F15" s="12"/>
      <c r="G15" s="12">
        <v>348</v>
      </c>
    </row>
    <row r="16" spans="1:7" ht="15.75">
      <c r="C16" s="12" t="s">
        <v>119</v>
      </c>
      <c r="D16" s="12" t="s">
        <v>118</v>
      </c>
      <c r="E16" s="12" t="s">
        <v>105</v>
      </c>
      <c r="F16" s="12"/>
      <c r="G16" s="12">
        <v>152</v>
      </c>
    </row>
    <row r="17" spans="1:7" ht="15.75">
      <c r="C17" s="12" t="s">
        <v>120</v>
      </c>
      <c r="D17" s="12" t="s">
        <v>121</v>
      </c>
      <c r="E17" s="12" t="s">
        <v>114</v>
      </c>
      <c r="F17" s="12"/>
      <c r="G17" s="12">
        <v>369</v>
      </c>
    </row>
    <row r="20" spans="1:7" ht="21">
      <c r="A20" s="2" t="s">
        <v>19</v>
      </c>
    </row>
    <row r="21" spans="1:7" ht="23.25">
      <c r="B21" s="3" t="s">
        <v>127</v>
      </c>
    </row>
    <row r="22" spans="1:7">
      <c r="C22" s="4"/>
    </row>
    <row r="23" spans="1:7">
      <c r="C23" s="4" t="s">
        <v>128</v>
      </c>
    </row>
    <row r="24" spans="1:7">
      <c r="C24" s="4"/>
    </row>
    <row r="25" spans="1:7">
      <c r="C25" s="4" t="s">
        <v>129</v>
      </c>
    </row>
    <row r="26" spans="1:7">
      <c r="C26" s="4"/>
    </row>
    <row r="27" spans="1:7">
      <c r="C27" s="4" t="s">
        <v>130</v>
      </c>
    </row>
    <row r="28" spans="1:7">
      <c r="C28" s="4"/>
    </row>
    <row r="29" spans="1:7">
      <c r="C29" s="4" t="s">
        <v>131</v>
      </c>
    </row>
    <row r="30" spans="1:7">
      <c r="C30" s="4"/>
    </row>
    <row r="31" spans="1:7">
      <c r="C31" s="4" t="s">
        <v>132</v>
      </c>
    </row>
    <row r="32" spans="1:7">
      <c r="C32" s="4"/>
    </row>
    <row r="33" spans="3:7">
      <c r="C33" s="5" t="s">
        <v>133</v>
      </c>
    </row>
    <row r="34" spans="3:7">
      <c r="C34" s="4"/>
    </row>
    <row r="35" spans="3:7">
      <c r="C35" s="5" t="s">
        <v>134</v>
      </c>
    </row>
    <row r="37" spans="3:7" ht="18.75">
      <c r="C37" s="107" t="s">
        <v>98</v>
      </c>
      <c r="D37" s="107" t="s">
        <v>99</v>
      </c>
      <c r="E37" s="107" t="s">
        <v>100</v>
      </c>
      <c r="F37" s="107" t="s">
        <v>101</v>
      </c>
      <c r="G37" s="107" t="s">
        <v>102</v>
      </c>
    </row>
    <row r="38" spans="3:7" ht="15.75">
      <c r="C38" s="12" t="s">
        <v>103</v>
      </c>
      <c r="D38" s="12" t="s">
        <v>104</v>
      </c>
      <c r="E38" s="12" t="s">
        <v>105</v>
      </c>
      <c r="F38" s="12"/>
      <c r="G38" s="12">
        <v>81</v>
      </c>
    </row>
    <row r="39" spans="3:7" ht="15.75">
      <c r="C39" s="12" t="s">
        <v>106</v>
      </c>
      <c r="D39" s="12" t="s">
        <v>107</v>
      </c>
      <c r="E39" s="12" t="s">
        <v>105</v>
      </c>
      <c r="F39" s="12"/>
      <c r="G39" s="12">
        <v>121</v>
      </c>
    </row>
    <row r="40" spans="3:7" ht="15.75">
      <c r="C40" s="12" t="s">
        <v>108</v>
      </c>
      <c r="D40" s="12" t="s">
        <v>109</v>
      </c>
      <c r="E40" s="12" t="s">
        <v>110</v>
      </c>
      <c r="F40" s="12"/>
      <c r="G40" s="12">
        <v>239</v>
      </c>
    </row>
    <row r="41" spans="3:7" ht="15.75">
      <c r="C41" s="12" t="s">
        <v>111</v>
      </c>
      <c r="D41" s="12" t="s">
        <v>104</v>
      </c>
      <c r="E41" s="12" t="s">
        <v>105</v>
      </c>
      <c r="F41" s="12"/>
      <c r="G41" s="12">
        <v>500</v>
      </c>
    </row>
    <row r="42" spans="3:7" ht="15.75">
      <c r="C42" s="12" t="s">
        <v>112</v>
      </c>
      <c r="D42" s="12" t="s">
        <v>113</v>
      </c>
      <c r="E42" s="12" t="s">
        <v>114</v>
      </c>
      <c r="F42" s="12"/>
      <c r="G42" s="12">
        <v>423</v>
      </c>
    </row>
    <row r="43" spans="3:7" ht="15.75">
      <c r="C43" s="12" t="s">
        <v>115</v>
      </c>
      <c r="D43" s="12" t="s">
        <v>116</v>
      </c>
      <c r="E43" s="12" t="s">
        <v>105</v>
      </c>
      <c r="F43" s="12"/>
      <c r="G43" s="12">
        <v>160</v>
      </c>
    </row>
    <row r="44" spans="3:7" ht="15.75">
      <c r="C44" s="12" t="s">
        <v>117</v>
      </c>
      <c r="D44" s="12" t="s">
        <v>118</v>
      </c>
      <c r="E44" s="12" t="s">
        <v>105</v>
      </c>
      <c r="F44" s="12"/>
      <c r="G44" s="12">
        <v>348</v>
      </c>
    </row>
    <row r="45" spans="3:7" ht="15.75">
      <c r="C45" s="12" t="s">
        <v>119</v>
      </c>
      <c r="D45" s="12" t="s">
        <v>118</v>
      </c>
      <c r="E45" s="12" t="s">
        <v>105</v>
      </c>
      <c r="F45" s="12"/>
      <c r="G45" s="12">
        <v>152</v>
      </c>
    </row>
    <row r="46" spans="3:7" ht="15.75">
      <c r="C46" s="12" t="s">
        <v>120</v>
      </c>
      <c r="D46" s="12" t="s">
        <v>121</v>
      </c>
      <c r="E46" s="12" t="s">
        <v>114</v>
      </c>
      <c r="F46" s="12"/>
      <c r="G46" s="12">
        <v>369</v>
      </c>
    </row>
    <row r="48" spans="3:7">
      <c r="C48" s="4" t="s">
        <v>135</v>
      </c>
    </row>
    <row r="50" spans="2:3" ht="23.25">
      <c r="B50" s="3" t="s">
        <v>136</v>
      </c>
    </row>
    <row r="51" spans="2:3">
      <c r="C51" s="4"/>
    </row>
    <row r="52" spans="2:3">
      <c r="C52" s="4" t="s">
        <v>137</v>
      </c>
    </row>
    <row r="53" spans="2:3">
      <c r="C53" s="4"/>
    </row>
    <row r="54" spans="2:3">
      <c r="C54" s="4" t="s">
        <v>129</v>
      </c>
    </row>
    <row r="55" spans="2:3">
      <c r="C55" s="4"/>
    </row>
    <row r="56" spans="2:3">
      <c r="C56" s="4" t="s">
        <v>138</v>
      </c>
    </row>
    <row r="57" spans="2:3">
      <c r="C57" s="13"/>
    </row>
    <row r="58" spans="2:3">
      <c r="C58" s="14" t="s">
        <v>139</v>
      </c>
    </row>
    <row r="59" spans="2:3">
      <c r="C59" s="13"/>
    </row>
    <row r="60" spans="2:3">
      <c r="C60" s="14" t="s">
        <v>140</v>
      </c>
    </row>
    <row r="61" spans="2:3">
      <c r="C61" s="13"/>
    </row>
    <row r="62" spans="2:3">
      <c r="C62" s="14" t="s">
        <v>141</v>
      </c>
    </row>
    <row r="63" spans="2:3">
      <c r="C63" s="13"/>
    </row>
    <row r="64" spans="2:3">
      <c r="C64" s="14" t="s">
        <v>142</v>
      </c>
    </row>
    <row r="65" spans="3:7">
      <c r="C65" s="4"/>
    </row>
    <row r="66" spans="3:7">
      <c r="C66" s="4" t="s">
        <v>143</v>
      </c>
    </row>
    <row r="67" spans="3:7">
      <c r="C67" s="4"/>
    </row>
    <row r="68" spans="3:7">
      <c r="C68" s="4" t="s">
        <v>144</v>
      </c>
    </row>
    <row r="69" spans="3:7">
      <c r="C69" s="4"/>
    </row>
    <row r="70" spans="3:7">
      <c r="C70" s="4" t="s">
        <v>145</v>
      </c>
    </row>
    <row r="71" spans="3:7">
      <c r="C71" s="4"/>
    </row>
    <row r="72" spans="3:7">
      <c r="C72" s="5" t="s">
        <v>146</v>
      </c>
    </row>
    <row r="73" spans="3:7">
      <c r="C73" s="4"/>
    </row>
    <row r="74" spans="3:7">
      <c r="C74" s="5" t="s">
        <v>147</v>
      </c>
    </row>
    <row r="75" spans="3:7">
      <c r="C75" s="4"/>
    </row>
    <row r="76" spans="3:7">
      <c r="C76" s="5" t="s">
        <v>148</v>
      </c>
    </row>
    <row r="78" spans="3:7" ht="18.75">
      <c r="C78" s="107" t="s">
        <v>98</v>
      </c>
      <c r="D78" s="107" t="s">
        <v>99</v>
      </c>
      <c r="E78" s="107" t="s">
        <v>100</v>
      </c>
      <c r="F78" s="107" t="s">
        <v>101</v>
      </c>
      <c r="G78" s="107" t="s">
        <v>102</v>
      </c>
    </row>
    <row r="79" spans="3:7" ht="15.75">
      <c r="C79" s="12" t="s">
        <v>103</v>
      </c>
      <c r="D79" s="12" t="s">
        <v>104</v>
      </c>
      <c r="E79" s="12" t="s">
        <v>105</v>
      </c>
      <c r="F79" s="12"/>
      <c r="G79" s="12">
        <v>81</v>
      </c>
    </row>
    <row r="80" spans="3:7" ht="16.5" thickBot="1">
      <c r="C80" s="12" t="s">
        <v>106</v>
      </c>
      <c r="D80" s="12" t="s">
        <v>107</v>
      </c>
      <c r="E80" s="12" t="s">
        <v>105</v>
      </c>
      <c r="F80" s="12"/>
      <c r="G80" s="12">
        <v>121</v>
      </c>
    </row>
    <row r="81" spans="3:17" ht="19.5" thickBot="1">
      <c r="C81" s="12" t="s">
        <v>108</v>
      </c>
      <c r="D81" s="12" t="s">
        <v>109</v>
      </c>
      <c r="E81" s="12" t="s">
        <v>110</v>
      </c>
      <c r="F81" s="12"/>
      <c r="G81" s="12">
        <v>239</v>
      </c>
      <c r="I81" s="15" t="s">
        <v>150</v>
      </c>
      <c r="J81" s="16"/>
      <c r="K81" s="16"/>
      <c r="L81" s="16"/>
      <c r="M81" s="16"/>
      <c r="N81" s="16"/>
      <c r="O81" s="16"/>
      <c r="P81" s="16"/>
      <c r="Q81" s="17"/>
    </row>
    <row r="82" spans="3:17" ht="15.75">
      <c r="C82" s="12" t="s">
        <v>111</v>
      </c>
      <c r="D82" s="12" t="s">
        <v>104</v>
      </c>
      <c r="E82" s="12" t="s">
        <v>105</v>
      </c>
      <c r="F82" s="12"/>
      <c r="G82" s="12">
        <v>500</v>
      </c>
    </row>
    <row r="83" spans="3:17" ht="15.75">
      <c r="C83" s="12" t="s">
        <v>112</v>
      </c>
      <c r="D83" s="12" t="s">
        <v>113</v>
      </c>
      <c r="E83" s="12" t="s">
        <v>114</v>
      </c>
      <c r="F83" s="12"/>
      <c r="G83" s="12">
        <v>423</v>
      </c>
    </row>
    <row r="84" spans="3:17" ht="15.75">
      <c r="C84" s="12" t="s">
        <v>115</v>
      </c>
      <c r="D84" s="12" t="s">
        <v>116</v>
      </c>
      <c r="E84" s="12" t="s">
        <v>105</v>
      </c>
      <c r="F84" s="12"/>
      <c r="G84" s="12">
        <v>160</v>
      </c>
    </row>
    <row r="85" spans="3:17" ht="15.75">
      <c r="C85" s="12" t="s">
        <v>117</v>
      </c>
      <c r="D85" s="12" t="s">
        <v>118</v>
      </c>
      <c r="E85" s="12" t="s">
        <v>105</v>
      </c>
      <c r="F85" s="12"/>
      <c r="G85" s="12">
        <v>348</v>
      </c>
    </row>
    <row r="86" spans="3:17" ht="15.75">
      <c r="C86" s="12" t="s">
        <v>119</v>
      </c>
      <c r="D86" s="12" t="s">
        <v>118</v>
      </c>
      <c r="E86" s="12" t="s">
        <v>105</v>
      </c>
      <c r="F86" s="12"/>
      <c r="G86" s="12">
        <v>152</v>
      </c>
    </row>
    <row r="87" spans="3:17" ht="15.75">
      <c r="C87" s="12" t="s">
        <v>120</v>
      </c>
      <c r="D87" s="12" t="s">
        <v>121</v>
      </c>
      <c r="E87" s="12" t="s">
        <v>114</v>
      </c>
      <c r="F87" s="12"/>
      <c r="G87" s="12">
        <v>369</v>
      </c>
    </row>
    <row r="89" spans="3:17">
      <c r="C89" t="s">
        <v>149</v>
      </c>
    </row>
  </sheetData>
  <dataValidations disablePrompts="1" count="2">
    <dataValidation allowBlank="1" showInputMessage="1" showErrorMessage="1" promptTitle="Quantity Input" prompt="&quot;Please enter a whole number between 1 and 10.&quot;" sqref="F38:F46" xr:uid="{064929B8-9B56-41B5-B441-3DE9CF021F0B}"/>
    <dataValidation type="whole" allowBlank="1" showInputMessage="1" showErrorMessage="1" errorTitle="Invalid Input" error="&quot;Invalid input! The quantity must be a whole number between 1 and 10.&quot;" sqref="F79:F87" xr:uid="{2EAF0337-4E97-42D1-B3BC-1172D332326A}">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55D7-E430-43C4-8124-9973F01119D9}">
  <dimension ref="A1:L35"/>
  <sheetViews>
    <sheetView showGridLines="0" zoomScaleNormal="100" workbookViewId="0">
      <selection activeCell="D2" sqref="D2"/>
    </sheetView>
  </sheetViews>
  <sheetFormatPr defaultRowHeight="15"/>
  <cols>
    <col min="6" max="6" width="18.5703125" bestFit="1" customWidth="1"/>
  </cols>
  <sheetData>
    <row r="1" spans="1:12" ht="15.75" thickBot="1"/>
    <row r="2" spans="1:12" ht="21.75" thickBot="1">
      <c r="A2" s="2" t="s">
        <v>1</v>
      </c>
      <c r="B2" s="108" t="s">
        <v>151</v>
      </c>
      <c r="C2" s="109"/>
      <c r="D2" s="109"/>
      <c r="E2" s="109"/>
      <c r="F2" s="109"/>
      <c r="G2" s="109"/>
      <c r="H2" s="109"/>
      <c r="I2" s="109"/>
      <c r="J2" s="109"/>
      <c r="K2" s="109"/>
      <c r="L2" s="110"/>
    </row>
    <row r="3" spans="1:12" ht="15.75">
      <c r="B3" s="111" t="s">
        <v>152</v>
      </c>
      <c r="C3" s="112"/>
      <c r="D3" s="112"/>
      <c r="E3" s="112"/>
      <c r="F3" s="112"/>
      <c r="G3" s="112"/>
      <c r="H3" s="112"/>
      <c r="I3" s="112"/>
      <c r="J3" s="112"/>
      <c r="K3" s="112"/>
      <c r="L3" s="113"/>
    </row>
    <row r="4" spans="1:12" ht="15.75">
      <c r="B4" s="114" t="s">
        <v>153</v>
      </c>
      <c r="C4" s="115"/>
      <c r="D4" s="115"/>
      <c r="E4" s="115"/>
      <c r="F4" s="115"/>
      <c r="G4" s="115"/>
      <c r="H4" s="115"/>
      <c r="I4" s="115"/>
      <c r="J4" s="115"/>
      <c r="K4" s="115"/>
      <c r="L4" s="116"/>
    </row>
    <row r="5" spans="1:12" ht="15.75">
      <c r="B5" s="114" t="s">
        <v>154</v>
      </c>
      <c r="C5" s="115"/>
      <c r="D5" s="115"/>
      <c r="E5" s="115"/>
      <c r="F5" s="115"/>
      <c r="G5" s="115"/>
      <c r="H5" s="115"/>
      <c r="I5" s="115"/>
      <c r="J5" s="115"/>
      <c r="K5" s="115"/>
      <c r="L5" s="116"/>
    </row>
    <row r="6" spans="1:12" ht="15.75">
      <c r="B6" s="114" t="s">
        <v>155</v>
      </c>
      <c r="C6" s="115"/>
      <c r="D6" s="115"/>
      <c r="E6" s="115"/>
      <c r="F6" s="115"/>
      <c r="G6" s="115"/>
      <c r="H6" s="115"/>
      <c r="I6" s="115"/>
      <c r="J6" s="115"/>
      <c r="K6" s="115"/>
      <c r="L6" s="116"/>
    </row>
    <row r="7" spans="1:12" ht="16.5" thickBot="1">
      <c r="B7" s="117" t="s">
        <v>156</v>
      </c>
      <c r="C7" s="118"/>
      <c r="D7" s="118"/>
      <c r="E7" s="118"/>
      <c r="F7" s="118"/>
      <c r="G7" s="118"/>
      <c r="H7" s="118"/>
      <c r="I7" s="118"/>
      <c r="J7" s="118"/>
      <c r="K7" s="118"/>
      <c r="L7" s="119"/>
    </row>
    <row r="9" spans="1:12" ht="15.75" thickBot="1"/>
    <row r="10" spans="1:12" ht="21.75" thickBot="1">
      <c r="A10" s="2" t="s">
        <v>19</v>
      </c>
      <c r="B10" s="123" t="s">
        <v>152</v>
      </c>
      <c r="C10" s="124"/>
      <c r="D10" s="124"/>
      <c r="E10" s="124"/>
      <c r="F10" s="124"/>
      <c r="G10" s="124"/>
      <c r="H10" s="124"/>
      <c r="I10" s="124"/>
      <c r="J10" s="124"/>
      <c r="K10" s="124"/>
      <c r="L10" s="125"/>
    </row>
    <row r="11" spans="1:12">
      <c r="B11" s="135" t="s">
        <v>157</v>
      </c>
      <c r="C11" s="136"/>
      <c r="D11" s="126" t="s">
        <v>158</v>
      </c>
      <c r="E11" s="126"/>
      <c r="F11" s="126"/>
      <c r="G11" s="126"/>
      <c r="H11" s="126"/>
      <c r="I11" s="126"/>
      <c r="J11" s="126"/>
      <c r="K11" s="126"/>
      <c r="L11" s="127"/>
    </row>
    <row r="12" spans="1:12">
      <c r="B12" s="128"/>
      <c r="C12" s="129"/>
      <c r="D12" s="130" t="str">
        <f>LEFT(D11,5)</f>
        <v>Excel</v>
      </c>
      <c r="E12" s="129" t="s">
        <v>159</v>
      </c>
      <c r="F12" s="130"/>
      <c r="G12" s="130"/>
      <c r="H12" s="130"/>
      <c r="I12" s="130"/>
      <c r="J12" s="130"/>
      <c r="K12" s="130"/>
      <c r="L12" s="131"/>
    </row>
    <row r="13" spans="1:12" ht="15.75" thickBot="1">
      <c r="B13" s="132" t="s">
        <v>277</v>
      </c>
      <c r="C13" s="133"/>
      <c r="D13" s="133"/>
      <c r="E13" s="133"/>
      <c r="F13" s="133"/>
      <c r="G13" s="133"/>
      <c r="H13" s="133"/>
      <c r="I13" s="133"/>
      <c r="J13" s="133"/>
      <c r="K13" s="133"/>
      <c r="L13" s="134"/>
    </row>
    <row r="15" spans="1:12" ht="15.75" thickBot="1"/>
    <row r="16" spans="1:12" ht="16.5" thickBot="1">
      <c r="B16" s="123" t="s">
        <v>153</v>
      </c>
      <c r="C16" s="124"/>
      <c r="D16" s="124"/>
      <c r="E16" s="124"/>
      <c r="F16" s="124"/>
      <c r="G16" s="124"/>
      <c r="H16" s="124"/>
      <c r="I16" s="124"/>
      <c r="J16" s="124"/>
      <c r="K16" s="124"/>
      <c r="L16" s="125"/>
    </row>
    <row r="17" spans="2:12">
      <c r="B17" s="135" t="s">
        <v>157</v>
      </c>
      <c r="C17" s="136"/>
      <c r="D17" s="126" t="s">
        <v>160</v>
      </c>
      <c r="E17" s="126"/>
      <c r="F17" s="126"/>
      <c r="G17" s="126"/>
      <c r="H17" s="126"/>
      <c r="I17" s="126"/>
      <c r="J17" s="126"/>
      <c r="K17" s="126"/>
      <c r="L17" s="127"/>
    </row>
    <row r="18" spans="2:12">
      <c r="B18" s="128"/>
      <c r="C18" s="129"/>
      <c r="D18" s="130" t="str">
        <f>RIGHT(D17,4)</f>
        <v>xlsx</v>
      </c>
      <c r="E18" s="129" t="s">
        <v>159</v>
      </c>
      <c r="F18" s="130"/>
      <c r="G18" s="130"/>
      <c r="H18" s="130"/>
      <c r="I18" s="130"/>
      <c r="J18" s="130"/>
      <c r="K18" s="130"/>
      <c r="L18" s="131"/>
    </row>
    <row r="19" spans="2:12" ht="15.75" thickBot="1">
      <c r="B19" s="132" t="s">
        <v>278</v>
      </c>
      <c r="C19" s="133"/>
      <c r="D19" s="133"/>
      <c r="E19" s="133"/>
      <c r="F19" s="133"/>
      <c r="G19" s="133"/>
      <c r="H19" s="133"/>
      <c r="I19" s="133"/>
      <c r="J19" s="133"/>
      <c r="K19" s="133"/>
      <c r="L19" s="134"/>
    </row>
    <row r="21" spans="2:12" ht="15.75" thickBot="1"/>
    <row r="22" spans="2:12" ht="16.5" thickBot="1">
      <c r="B22" s="123" t="s">
        <v>154</v>
      </c>
      <c r="C22" s="124"/>
      <c r="D22" s="124"/>
      <c r="E22" s="124"/>
      <c r="F22" s="124"/>
      <c r="G22" s="124"/>
      <c r="H22" s="124"/>
      <c r="I22" s="124"/>
      <c r="J22" s="124"/>
      <c r="K22" s="124"/>
      <c r="L22" s="125"/>
    </row>
    <row r="23" spans="2:12">
      <c r="B23" s="135" t="s">
        <v>157</v>
      </c>
      <c r="C23" s="136"/>
      <c r="D23" s="126" t="s">
        <v>158</v>
      </c>
      <c r="E23" s="126"/>
      <c r="F23" s="126"/>
      <c r="G23" s="126"/>
      <c r="H23" s="126"/>
      <c r="I23" s="126"/>
      <c r="J23" s="126"/>
      <c r="K23" s="126"/>
      <c r="L23" s="127"/>
    </row>
    <row r="24" spans="2:12">
      <c r="B24" s="128"/>
      <c r="C24" s="129"/>
      <c r="D24" s="130" t="str">
        <f>MID(D23,6,4)</f>
        <v>Tips</v>
      </c>
      <c r="E24" s="129"/>
      <c r="F24" s="130"/>
      <c r="G24" s="130"/>
      <c r="H24" s="130"/>
      <c r="I24" s="130"/>
      <c r="J24" s="130"/>
      <c r="K24" s="130"/>
      <c r="L24" s="131"/>
    </row>
    <row r="25" spans="2:12" ht="15.75" thickBot="1">
      <c r="B25" s="132" t="s">
        <v>279</v>
      </c>
      <c r="C25" s="133"/>
      <c r="D25" s="133"/>
      <c r="E25" s="133"/>
      <c r="F25" s="133"/>
      <c r="G25" s="133"/>
      <c r="H25" s="133"/>
      <c r="I25" s="133"/>
      <c r="J25" s="133"/>
      <c r="K25" s="133"/>
      <c r="L25" s="134"/>
    </row>
    <row r="26" spans="2:12" ht="15.75" thickBot="1"/>
    <row r="27" spans="2:12" ht="16.5" thickBot="1">
      <c r="B27" s="123" t="s">
        <v>155</v>
      </c>
      <c r="C27" s="124"/>
      <c r="D27" s="124"/>
      <c r="E27" s="124"/>
      <c r="F27" s="124"/>
      <c r="G27" s="124"/>
      <c r="H27" s="124"/>
      <c r="I27" s="124"/>
      <c r="J27" s="124"/>
      <c r="K27" s="124"/>
      <c r="L27" s="125"/>
    </row>
    <row r="28" spans="2:12">
      <c r="B28" s="135" t="s">
        <v>157</v>
      </c>
      <c r="C28" s="136"/>
      <c r="D28" s="126" t="s">
        <v>161</v>
      </c>
      <c r="E28" s="126"/>
      <c r="F28" s="126"/>
      <c r="G28" s="126"/>
      <c r="H28" s="126"/>
      <c r="I28" s="126"/>
      <c r="J28" s="126"/>
      <c r="K28" s="126"/>
      <c r="L28" s="127"/>
    </row>
    <row r="29" spans="2:12">
      <c r="B29" s="128"/>
      <c r="C29" s="129"/>
      <c r="D29" s="130">
        <f>LEN(D28)</f>
        <v>12</v>
      </c>
      <c r="E29" s="129"/>
      <c r="F29" s="130"/>
      <c r="G29" s="130"/>
      <c r="H29" s="130"/>
      <c r="I29" s="130"/>
      <c r="J29" s="130"/>
      <c r="K29" s="130"/>
      <c r="L29" s="131"/>
    </row>
    <row r="30" spans="2:12" ht="15.75" thickBot="1">
      <c r="B30" s="132" t="s">
        <v>163</v>
      </c>
      <c r="C30" s="133"/>
      <c r="D30" s="133"/>
      <c r="E30" s="133"/>
      <c r="F30" s="133"/>
      <c r="G30" s="133"/>
      <c r="H30" s="133"/>
      <c r="I30" s="133"/>
      <c r="J30" s="133"/>
      <c r="K30" s="133"/>
      <c r="L30" s="134"/>
    </row>
    <row r="31" spans="2:12" ht="15.75" thickBot="1"/>
    <row r="32" spans="2:12" ht="16.5" thickBot="1">
      <c r="B32" s="123" t="s">
        <v>156</v>
      </c>
      <c r="C32" s="124"/>
      <c r="D32" s="124"/>
      <c r="E32" s="124"/>
      <c r="F32" s="124"/>
      <c r="G32" s="124"/>
      <c r="H32" s="124"/>
      <c r="I32" s="124"/>
      <c r="J32" s="124"/>
      <c r="K32" s="124"/>
      <c r="L32" s="125"/>
    </row>
    <row r="33" spans="2:12">
      <c r="B33" s="135" t="s">
        <v>157</v>
      </c>
      <c r="C33" s="136"/>
      <c r="D33" s="126" t="s">
        <v>162</v>
      </c>
      <c r="E33" s="126"/>
      <c r="F33" s="126"/>
      <c r="G33" s="126"/>
      <c r="H33" s="126"/>
      <c r="I33" s="126"/>
      <c r="J33" s="126"/>
      <c r="K33" s="126"/>
      <c r="L33" s="127"/>
    </row>
    <row r="34" spans="2:12">
      <c r="B34" s="128"/>
      <c r="C34" s="129"/>
      <c r="D34" s="130" t="str">
        <f>MID(D33,7,6)</f>
        <v>67890-</v>
      </c>
      <c r="E34" s="129" t="s">
        <v>159</v>
      </c>
      <c r="F34" s="130"/>
      <c r="G34" s="130"/>
      <c r="H34" s="130"/>
      <c r="I34" s="130"/>
      <c r="J34" s="130"/>
      <c r="K34" s="130"/>
      <c r="L34" s="131"/>
    </row>
    <row r="35" spans="2:12" ht="15.75" thickBot="1">
      <c r="B35" s="132" t="s">
        <v>164</v>
      </c>
      <c r="C35" s="133"/>
      <c r="D35" s="133"/>
      <c r="E35" s="133"/>
      <c r="F35" s="133"/>
      <c r="G35" s="133"/>
      <c r="H35" s="133"/>
      <c r="I35" s="133"/>
      <c r="J35" s="133"/>
      <c r="K35" s="133"/>
      <c r="L35" s="134"/>
    </row>
  </sheetData>
  <mergeCells count="5">
    <mergeCell ref="B11:C11"/>
    <mergeCell ref="B17:C17"/>
    <mergeCell ref="B23:C23"/>
    <mergeCell ref="B28:C28"/>
    <mergeCell ref="B33:C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B54E-FB60-45CF-BC4E-0B0E0A2F49F0}">
  <dimension ref="A1:P67"/>
  <sheetViews>
    <sheetView showGridLines="0" zoomScaleNormal="100" workbookViewId="0"/>
  </sheetViews>
  <sheetFormatPr defaultRowHeight="15"/>
  <cols>
    <col min="3" max="3" width="28.42578125" customWidth="1"/>
    <col min="4" max="4" width="15" bestFit="1" customWidth="1"/>
    <col min="5" max="5" width="18" customWidth="1"/>
    <col min="6" max="6" width="20" bestFit="1" customWidth="1"/>
    <col min="7" max="7" width="24.5703125" customWidth="1"/>
    <col min="8" max="8" width="18.5703125" customWidth="1"/>
    <col min="9" max="9" width="39.140625" bestFit="1" customWidth="1"/>
    <col min="12" max="12" width="11" customWidth="1"/>
  </cols>
  <sheetData>
    <row r="1" spans="1:9" ht="15.75" thickBot="1"/>
    <row r="2" spans="1:9" ht="21.75" thickBot="1">
      <c r="A2" s="2" t="s">
        <v>1</v>
      </c>
      <c r="B2" s="108" t="s">
        <v>165</v>
      </c>
      <c r="C2" s="109"/>
      <c r="D2" s="109"/>
      <c r="E2" s="109"/>
      <c r="F2" s="109"/>
      <c r="G2" s="109"/>
      <c r="H2" s="110"/>
    </row>
    <row r="3" spans="1:9" ht="15.75">
      <c r="B3" s="111" t="s">
        <v>166</v>
      </c>
      <c r="C3" s="112"/>
      <c r="D3" s="112"/>
      <c r="E3" s="112"/>
      <c r="F3" s="112"/>
      <c r="G3" s="112"/>
      <c r="H3" s="113"/>
    </row>
    <row r="4" spans="1:9" ht="15.75">
      <c r="B4" s="114" t="s">
        <v>167</v>
      </c>
      <c r="C4" s="115"/>
      <c r="D4" s="115"/>
      <c r="E4" s="115"/>
      <c r="F4" s="115"/>
      <c r="G4" s="115"/>
      <c r="H4" s="116"/>
    </row>
    <row r="5" spans="1:9" ht="15.75">
      <c r="B5" s="114" t="s">
        <v>168</v>
      </c>
      <c r="C5" s="115"/>
      <c r="D5" s="115"/>
      <c r="E5" s="115"/>
      <c r="F5" s="115"/>
      <c r="G5" s="115"/>
      <c r="H5" s="116"/>
    </row>
    <row r="6" spans="1:9" ht="15.75">
      <c r="B6" s="114" t="s">
        <v>169</v>
      </c>
      <c r="C6" s="115"/>
      <c r="D6" s="115"/>
      <c r="E6" s="115"/>
      <c r="F6" s="115"/>
      <c r="G6" s="115"/>
      <c r="H6" s="116"/>
    </row>
    <row r="7" spans="1:9" ht="16.5" thickBot="1">
      <c r="B7" s="117" t="s">
        <v>170</v>
      </c>
      <c r="C7" s="118"/>
      <c r="D7" s="118"/>
      <c r="E7" s="118"/>
      <c r="F7" s="118"/>
      <c r="G7" s="118"/>
      <c r="H7" s="119"/>
    </row>
    <row r="9" spans="1:9" ht="21.75" thickBot="1">
      <c r="A9" s="2" t="s">
        <v>19</v>
      </c>
    </row>
    <row r="10" spans="1:9" ht="16.5" thickBot="1">
      <c r="B10" s="120" t="s">
        <v>166</v>
      </c>
      <c r="C10" s="121"/>
      <c r="D10" s="121"/>
      <c r="E10" s="121"/>
      <c r="F10" s="121"/>
      <c r="G10" s="121"/>
      <c r="H10" s="122"/>
    </row>
    <row r="12" spans="1:9" ht="21">
      <c r="C12" s="137" t="s">
        <v>233</v>
      </c>
    </row>
    <row r="13" spans="1:9" ht="15.75" thickBot="1"/>
    <row r="14" spans="1:9" ht="15.75" thickBot="1">
      <c r="D14" s="34"/>
      <c r="E14" s="35" t="s">
        <v>185</v>
      </c>
      <c r="F14" s="37" t="str">
        <f>_xlfn.CONCAT("Hello", " ", "World")</f>
        <v>Hello World</v>
      </c>
      <c r="G14" s="38" t="s">
        <v>159</v>
      </c>
    </row>
    <row r="16" spans="1:9">
      <c r="F16" s="20" t="s">
        <v>183</v>
      </c>
      <c r="I16" s="18"/>
    </row>
    <row r="17" spans="3:16" ht="15.75" thickBot="1"/>
    <row r="18" spans="3:16">
      <c r="D18" s="22" t="s">
        <v>157</v>
      </c>
      <c r="E18" s="23" t="s">
        <v>177</v>
      </c>
      <c r="F18" s="23" t="s">
        <v>178</v>
      </c>
      <c r="G18" s="24" t="s">
        <v>179</v>
      </c>
    </row>
    <row r="19" spans="3:16">
      <c r="D19" s="25"/>
      <c r="G19" s="26"/>
      <c r="P19" s="20"/>
    </row>
    <row r="20" spans="3:16" ht="15.75" thickBot="1">
      <c r="D20" s="27"/>
      <c r="E20" s="28"/>
      <c r="F20" s="29" t="str">
        <f>_xlfn.CONCAT(E18," ",G18)</f>
        <v>Hello World</v>
      </c>
      <c r="G20" s="31" t="s">
        <v>159</v>
      </c>
      <c r="M20" s="20"/>
      <c r="N20" s="20"/>
      <c r="O20" s="20"/>
    </row>
    <row r="21" spans="3:16">
      <c r="M21" s="20"/>
      <c r="O21" s="20"/>
    </row>
    <row r="22" spans="3:16" ht="21.75" thickBot="1">
      <c r="C22" s="137" t="s">
        <v>234</v>
      </c>
      <c r="M22" s="20"/>
      <c r="O22" s="20"/>
    </row>
    <row r="23" spans="3:16" ht="15.75" thickBot="1">
      <c r="D23" s="34"/>
      <c r="E23" s="35" t="s">
        <v>185</v>
      </c>
      <c r="F23" s="37" t="str">
        <f>CONCATENATE("Hello", " ", "World")</f>
        <v>Hello World</v>
      </c>
      <c r="G23" s="38" t="s">
        <v>159</v>
      </c>
      <c r="M23" s="20"/>
      <c r="O23" s="20"/>
    </row>
    <row r="24" spans="3:16">
      <c r="M24" s="20"/>
      <c r="O24" s="20"/>
    </row>
    <row r="25" spans="3:16">
      <c r="F25" s="20" t="s">
        <v>183</v>
      </c>
      <c r="M25" s="20"/>
      <c r="O25" s="20"/>
    </row>
    <row r="26" spans="3:16" ht="15.75" thickBot="1">
      <c r="M26" s="20"/>
      <c r="O26" s="20"/>
    </row>
    <row r="27" spans="3:16">
      <c r="D27" s="22" t="s">
        <v>157</v>
      </c>
      <c r="E27" s="23" t="s">
        <v>177</v>
      </c>
      <c r="F27" s="23" t="s">
        <v>178</v>
      </c>
      <c r="G27" s="24" t="s">
        <v>179</v>
      </c>
      <c r="M27" s="20"/>
      <c r="O27" s="20"/>
    </row>
    <row r="28" spans="3:16">
      <c r="D28" s="25"/>
      <c r="G28" s="26"/>
      <c r="M28" s="20"/>
      <c r="O28" s="20"/>
    </row>
    <row r="29" spans="3:16" ht="15.75" thickBot="1">
      <c r="D29" s="27"/>
      <c r="E29" s="28"/>
      <c r="F29" s="29" t="str">
        <f>CONCATENATE(E27," ",G27)</f>
        <v>Hello World</v>
      </c>
      <c r="G29" s="31" t="s">
        <v>159</v>
      </c>
      <c r="M29" s="20"/>
      <c r="O29" s="20"/>
    </row>
    <row r="30" spans="3:16">
      <c r="M30" s="20"/>
      <c r="O30" s="20"/>
    </row>
    <row r="31" spans="3:16">
      <c r="M31" s="20"/>
      <c r="O31" s="20"/>
    </row>
    <row r="32" spans="3:16">
      <c r="M32" s="20"/>
      <c r="O32" s="20"/>
    </row>
    <row r="33" spans="2:15" ht="15.75" thickBot="1">
      <c r="M33" s="20"/>
      <c r="O33" s="20"/>
    </row>
    <row r="34" spans="2:15" ht="16.5" thickBot="1">
      <c r="B34" s="120" t="s">
        <v>167</v>
      </c>
      <c r="C34" s="121"/>
      <c r="D34" s="121"/>
      <c r="E34" s="121"/>
      <c r="F34" s="121"/>
      <c r="G34" s="121"/>
      <c r="H34" s="122"/>
    </row>
    <row r="35" spans="2:15" ht="15.75" thickBot="1"/>
    <row r="36" spans="2:15" ht="15.75" thickBot="1">
      <c r="D36" s="34"/>
      <c r="E36" s="35" t="s">
        <v>185</v>
      </c>
      <c r="F36" s="36" t="str">
        <f>_xlfn.TEXTJOIN(", ", TRUE, "Apple", "Banana", "Cherry")</f>
        <v>Apple, Banana, Cherry</v>
      </c>
      <c r="G36" s="33" t="s">
        <v>159</v>
      </c>
    </row>
    <row r="37" spans="2:15" ht="15.75" thickBot="1"/>
    <row r="38" spans="2:15" ht="15.75" thickBot="1">
      <c r="F38" s="20" t="s">
        <v>183</v>
      </c>
      <c r="I38" s="21" t="s">
        <v>184</v>
      </c>
    </row>
    <row r="39" spans="2:15" ht="15.75" thickBot="1"/>
    <row r="40" spans="2:15">
      <c r="D40" s="22" t="s">
        <v>157</v>
      </c>
      <c r="E40" s="23" t="s">
        <v>180</v>
      </c>
      <c r="F40" s="23" t="s">
        <v>181</v>
      </c>
      <c r="G40" s="24" t="s">
        <v>182</v>
      </c>
    </row>
    <row r="41" spans="2:15">
      <c r="D41" s="25"/>
      <c r="G41" s="26"/>
    </row>
    <row r="42" spans="2:15" ht="15.75" thickBot="1">
      <c r="D42" s="27"/>
      <c r="E42" s="28"/>
      <c r="F42" s="29" t="str">
        <f>_xlfn.TEXTJOIN(", ",TRUE,E40,F40,G40)</f>
        <v>Apple, Banana, Cherry</v>
      </c>
      <c r="G42" s="30" t="s">
        <v>159</v>
      </c>
    </row>
    <row r="46" spans="2:15" ht="15.75" thickBot="1"/>
    <row r="47" spans="2:15" ht="16.5" thickBot="1">
      <c r="B47" s="120" t="s">
        <v>168</v>
      </c>
      <c r="C47" s="121"/>
      <c r="D47" s="121"/>
      <c r="E47" s="121"/>
      <c r="F47" s="121"/>
      <c r="G47" s="121"/>
      <c r="H47" s="122"/>
    </row>
    <row r="49" spans="2:10">
      <c r="F49" t="str">
        <f>"2025" &amp; ": "&amp;"Excel Functions"</f>
        <v>2025: Excel Functions</v>
      </c>
      <c r="G49" s="18" t="s">
        <v>159</v>
      </c>
    </row>
    <row r="50" spans="2:10" ht="15.75" thickBot="1"/>
    <row r="51" spans="2:10" ht="16.5" thickBot="1">
      <c r="B51" s="120" t="s">
        <v>169</v>
      </c>
      <c r="C51" s="121"/>
      <c r="D51" s="121"/>
      <c r="E51" s="121"/>
      <c r="F51" s="121"/>
      <c r="G51" s="121"/>
      <c r="H51" s="122"/>
    </row>
    <row r="53" spans="2:10" ht="18.75">
      <c r="C53" s="11" t="s">
        <v>98</v>
      </c>
    </row>
    <row r="54" spans="2:10" ht="15.75">
      <c r="C54" s="12" t="s">
        <v>103</v>
      </c>
    </row>
    <row r="55" spans="2:10" ht="16.5" thickBot="1">
      <c r="C55" s="12" t="s">
        <v>106</v>
      </c>
    </row>
    <row r="56" spans="2:10" ht="16.5" thickBot="1">
      <c r="C56" s="12" t="s">
        <v>108</v>
      </c>
      <c r="D56" s="138" t="s">
        <v>231</v>
      </c>
      <c r="E56" s="139"/>
      <c r="F56" s="140"/>
      <c r="G56" s="141" t="str">
        <f>_xlfn.TEXTJOIN(" , ",TRUE,C54,C55,C56,C57,C58)</f>
        <v>Jane Smith , Isabella Moore , Daniel Davis , Alex Moore , Michael Johnson</v>
      </c>
      <c r="H56" s="142"/>
      <c r="I56" s="143"/>
      <c r="J56" s="18" t="s">
        <v>159</v>
      </c>
    </row>
    <row r="57" spans="2:10" ht="15.75">
      <c r="C57" s="12" t="s">
        <v>111</v>
      </c>
    </row>
    <row r="58" spans="2:10" ht="15.75">
      <c r="C58" s="12" t="s">
        <v>112</v>
      </c>
    </row>
    <row r="59" spans="2:10" ht="15.75" thickBot="1"/>
    <row r="60" spans="2:10" ht="16.5" thickBot="1">
      <c r="B60" s="120" t="s">
        <v>170</v>
      </c>
      <c r="C60" s="121"/>
      <c r="D60" s="121"/>
      <c r="E60" s="121"/>
      <c r="F60" s="121"/>
      <c r="G60" s="121"/>
      <c r="H60" s="122"/>
    </row>
    <row r="61" spans="2:10" ht="15.75" thickBot="1"/>
    <row r="62" spans="2:10" ht="18.75">
      <c r="C62" s="32" t="s">
        <v>195</v>
      </c>
      <c r="D62" s="32" t="s">
        <v>196</v>
      </c>
      <c r="H62" s="144" t="s">
        <v>197</v>
      </c>
    </row>
    <row r="63" spans="2:10" ht="16.5" thickBot="1">
      <c r="C63" s="12" t="s">
        <v>186</v>
      </c>
      <c r="D63" s="12" t="s">
        <v>187</v>
      </c>
      <c r="H63" s="145" t="str">
        <f>$C63&amp;" "&amp;$D63</f>
        <v>Jane Smith</v>
      </c>
    </row>
    <row r="64" spans="2:10" ht="16.5" thickBot="1">
      <c r="C64" s="12" t="s">
        <v>188</v>
      </c>
      <c r="D64" s="12" t="s">
        <v>189</v>
      </c>
      <c r="E64" s="138" t="s">
        <v>232</v>
      </c>
      <c r="F64" s="139"/>
      <c r="G64" s="139"/>
      <c r="H64" s="145" t="str">
        <f t="shared" ref="H64:H67" si="0">$C64&amp;" "&amp;$D64</f>
        <v>Isabella Moore</v>
      </c>
    </row>
    <row r="65" spans="3:8" ht="15.75">
      <c r="C65" s="12" t="s">
        <v>190</v>
      </c>
      <c r="D65" s="12" t="s">
        <v>191</v>
      </c>
      <c r="H65" s="145" t="str">
        <f t="shared" si="0"/>
        <v>Daniel Davis</v>
      </c>
    </row>
    <row r="66" spans="3:8" ht="15.75">
      <c r="C66" s="12" t="s">
        <v>192</v>
      </c>
      <c r="D66" s="12" t="s">
        <v>189</v>
      </c>
      <c r="H66" s="145" t="str">
        <f t="shared" si="0"/>
        <v>Alex Moore</v>
      </c>
    </row>
    <row r="67" spans="3:8" ht="15.75">
      <c r="C67" s="12" t="s">
        <v>193</v>
      </c>
      <c r="D67" s="12" t="s">
        <v>194</v>
      </c>
      <c r="H67" s="145" t="str">
        <f t="shared" si="0"/>
        <v>Michael Johnson</v>
      </c>
    </row>
  </sheetData>
  <dataValidations count="1">
    <dataValidation allowBlank="1" showInputMessage="1" showErrorMessage="1" promptTitle="FORMULA" prompt="DOUBLE CLICK TO SEE THE FORMULA" sqref="F20 F14 F42 F36 F29 F23" xr:uid="{C45DB344-D28C-4184-86C1-9F9B01F8C4BA}"/>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CA67D-24B1-48E6-A87D-72DB95216937}">
  <dimension ref="A1:K92"/>
  <sheetViews>
    <sheetView showGridLines="0" workbookViewId="0"/>
  </sheetViews>
  <sheetFormatPr defaultRowHeight="15"/>
  <cols>
    <col min="2" max="2" width="10.7109375" bestFit="1" customWidth="1"/>
    <col min="3" max="3" width="15.42578125" bestFit="1" customWidth="1"/>
    <col min="4" max="4" width="16.7109375" customWidth="1"/>
    <col min="5" max="5" width="19.42578125" customWidth="1"/>
    <col min="6" max="6" width="18.85546875" customWidth="1"/>
    <col min="7" max="7" width="20" customWidth="1"/>
    <col min="8" max="8" width="11.140625" customWidth="1"/>
    <col min="9" max="9" width="26.7109375" customWidth="1"/>
    <col min="11" max="11" width="10.7109375" bestFit="1" customWidth="1"/>
    <col min="20" max="20" width="8.140625" bestFit="1" customWidth="1"/>
  </cols>
  <sheetData>
    <row r="1" spans="1:11" ht="15.75" thickBot="1"/>
    <row r="2" spans="1:11" ht="21.75" thickBot="1">
      <c r="A2" s="2" t="s">
        <v>1</v>
      </c>
      <c r="B2" s="108" t="s">
        <v>171</v>
      </c>
      <c r="C2" s="109"/>
      <c r="D2" s="109"/>
      <c r="E2" s="109"/>
      <c r="F2" s="109"/>
      <c r="G2" s="109"/>
      <c r="H2" s="109"/>
      <c r="I2" s="109"/>
      <c r="J2" s="109"/>
      <c r="K2" s="110"/>
    </row>
    <row r="3" spans="1:11" ht="15.75">
      <c r="B3" s="146" t="s">
        <v>172</v>
      </c>
      <c r="C3" s="126"/>
      <c r="D3" s="126"/>
      <c r="E3" s="126"/>
      <c r="F3" s="126"/>
      <c r="G3" s="126"/>
      <c r="H3" s="126"/>
      <c r="I3" s="126"/>
      <c r="J3" s="126"/>
      <c r="K3" s="127"/>
    </row>
    <row r="4" spans="1:11" ht="15.75">
      <c r="B4" s="147" t="s">
        <v>173</v>
      </c>
      <c r="C4" s="130"/>
      <c r="D4" s="130"/>
      <c r="E4" s="130"/>
      <c r="F4" s="130"/>
      <c r="G4" s="130"/>
      <c r="H4" s="130"/>
      <c r="I4" s="130"/>
      <c r="J4" s="130"/>
      <c r="K4" s="131"/>
    </row>
    <row r="5" spans="1:11" ht="15.75">
      <c r="B5" s="147" t="s">
        <v>174</v>
      </c>
      <c r="C5" s="130"/>
      <c r="D5" s="130"/>
      <c r="E5" s="130"/>
      <c r="F5" s="130"/>
      <c r="G5" s="130"/>
      <c r="H5" s="130"/>
      <c r="I5" s="130"/>
      <c r="J5" s="130"/>
      <c r="K5" s="131"/>
    </row>
    <row r="6" spans="1:11" ht="15.75">
      <c r="B6" s="147" t="s">
        <v>175</v>
      </c>
      <c r="C6" s="130"/>
      <c r="D6" s="130"/>
      <c r="E6" s="130"/>
      <c r="F6" s="130"/>
      <c r="G6" s="130"/>
      <c r="H6" s="130"/>
      <c r="I6" s="130"/>
      <c r="J6" s="130"/>
      <c r="K6" s="131"/>
    </row>
    <row r="7" spans="1:11" ht="16.5" thickBot="1">
      <c r="B7" s="148" t="s">
        <v>176</v>
      </c>
      <c r="C7" s="133"/>
      <c r="D7" s="133"/>
      <c r="E7" s="133"/>
      <c r="F7" s="133"/>
      <c r="G7" s="133"/>
      <c r="H7" s="133"/>
      <c r="I7" s="133"/>
      <c r="J7" s="133"/>
      <c r="K7" s="134"/>
    </row>
    <row r="9" spans="1:11" ht="15.75" thickBot="1"/>
    <row r="10" spans="1:11" ht="21.75" thickBot="1">
      <c r="A10" s="2" t="s">
        <v>19</v>
      </c>
      <c r="B10" s="149" t="s">
        <v>172</v>
      </c>
      <c r="C10" s="121"/>
      <c r="D10" s="121"/>
      <c r="E10" s="121"/>
      <c r="F10" s="121"/>
      <c r="G10" s="121"/>
      <c r="H10" s="121"/>
      <c r="I10" s="121"/>
      <c r="J10" s="121"/>
      <c r="K10" s="122"/>
    </row>
    <row r="12" spans="1:11" ht="15.75">
      <c r="C12" s="41" t="s">
        <v>213</v>
      </c>
    </row>
    <row r="14" spans="1:11" ht="18">
      <c r="B14" s="40"/>
      <c r="D14" s="150" t="s">
        <v>200</v>
      </c>
      <c r="E14" s="151"/>
      <c r="F14" s="151"/>
      <c r="G14" s="151"/>
      <c r="H14" s="151"/>
      <c r="I14" s="39"/>
    </row>
    <row r="15" spans="1:11">
      <c r="D15" s="151"/>
      <c r="E15" s="152" t="s">
        <v>206</v>
      </c>
      <c r="F15" s="151"/>
      <c r="G15" s="151"/>
      <c r="H15" s="151"/>
    </row>
    <row r="16" spans="1:11">
      <c r="D16" s="151"/>
      <c r="E16" s="152" t="s">
        <v>207</v>
      </c>
      <c r="F16" s="151"/>
      <c r="G16" s="151"/>
      <c r="H16" s="151"/>
    </row>
    <row r="17" spans="4:8">
      <c r="D17" s="151"/>
      <c r="E17" s="151"/>
      <c r="F17" s="151"/>
      <c r="G17" s="151"/>
      <c r="H17" s="151"/>
    </row>
    <row r="18" spans="4:8">
      <c r="D18" s="151"/>
      <c r="E18" s="153" t="s">
        <v>42</v>
      </c>
      <c r="F18" s="151"/>
      <c r="G18" s="151"/>
      <c r="H18" s="151"/>
    </row>
    <row r="19" spans="4:8">
      <c r="D19" s="151"/>
      <c r="E19" s="151" t="s">
        <v>208</v>
      </c>
      <c r="F19" s="151"/>
      <c r="G19" s="151"/>
      <c r="H19" s="151"/>
    </row>
    <row r="20" spans="4:8">
      <c r="D20" s="151"/>
      <c r="E20" s="154"/>
      <c r="F20" s="151"/>
      <c r="G20" s="151"/>
      <c r="H20" s="151"/>
    </row>
    <row r="21" spans="4:8">
      <c r="D21" s="151"/>
      <c r="E21" s="151"/>
      <c r="F21" s="153" t="s">
        <v>212</v>
      </c>
      <c r="G21" s="155">
        <v>46016</v>
      </c>
      <c r="H21" s="151"/>
    </row>
    <row r="22" spans="4:8">
      <c r="D22" s="151"/>
      <c r="E22" s="151"/>
      <c r="F22" s="151"/>
      <c r="G22" s="156"/>
      <c r="H22" s="151"/>
    </row>
    <row r="23" spans="4:8">
      <c r="D23" s="151"/>
      <c r="E23" s="151"/>
      <c r="F23" s="151"/>
      <c r="G23" s="157">
        <f ca="1">G21 - TODAY()</f>
        <v>7</v>
      </c>
      <c r="H23" s="153" t="s">
        <v>159</v>
      </c>
    </row>
    <row r="27" spans="4:8" ht="18">
      <c r="D27" s="158" t="s">
        <v>203</v>
      </c>
      <c r="E27" s="159"/>
      <c r="F27" s="159"/>
      <c r="G27" s="159"/>
      <c r="H27" s="159"/>
    </row>
    <row r="28" spans="4:8">
      <c r="D28" s="159"/>
      <c r="E28" s="160" t="s">
        <v>209</v>
      </c>
      <c r="F28" s="159"/>
      <c r="G28" s="159"/>
      <c r="H28" s="159"/>
    </row>
    <row r="29" spans="4:8">
      <c r="D29" s="159"/>
      <c r="E29" s="160" t="s">
        <v>210</v>
      </c>
      <c r="F29" s="159"/>
      <c r="G29" s="159"/>
      <c r="H29" s="159"/>
    </row>
    <row r="30" spans="4:8">
      <c r="D30" s="159"/>
      <c r="E30" s="159"/>
      <c r="F30" s="159"/>
      <c r="G30" s="159"/>
      <c r="H30" s="159"/>
    </row>
    <row r="31" spans="4:8">
      <c r="D31" s="159"/>
      <c r="E31" s="161" t="s">
        <v>42</v>
      </c>
      <c r="F31" s="159"/>
      <c r="G31" s="159"/>
      <c r="H31" s="159"/>
    </row>
    <row r="32" spans="4:8">
      <c r="D32" s="159"/>
      <c r="E32" s="159" t="s">
        <v>211</v>
      </c>
      <c r="F32" s="159"/>
      <c r="G32" s="159"/>
      <c r="H32" s="159"/>
    </row>
    <row r="33" spans="2:11">
      <c r="D33" s="159"/>
      <c r="E33" s="162"/>
      <c r="F33" s="159"/>
      <c r="G33" s="159"/>
      <c r="H33" s="159"/>
    </row>
    <row r="34" spans="2:11">
      <c r="D34" s="159"/>
      <c r="E34" s="159"/>
      <c r="F34" s="159"/>
      <c r="G34" s="163">
        <f ca="1">NOW()</f>
        <v>46009.047193981482</v>
      </c>
      <c r="H34" s="161" t="s">
        <v>159</v>
      </c>
    </row>
    <row r="38" spans="2:11">
      <c r="D38" s="164" t="s">
        <v>58</v>
      </c>
      <c r="E38" s="164" t="s">
        <v>198</v>
      </c>
      <c r="F38" s="165" t="s">
        <v>199</v>
      </c>
      <c r="G38" s="166"/>
    </row>
    <row r="39" spans="2:11">
      <c r="D39" s="164" t="s">
        <v>200</v>
      </c>
      <c r="E39" s="167" t="s">
        <v>201</v>
      </c>
      <c r="F39" s="168" t="s">
        <v>202</v>
      </c>
      <c r="G39" s="166"/>
    </row>
    <row r="40" spans="2:11">
      <c r="C40" s="5"/>
      <c r="D40" s="164" t="s">
        <v>203</v>
      </c>
      <c r="E40" s="167" t="s">
        <v>204</v>
      </c>
      <c r="F40" s="168" t="s">
        <v>205</v>
      </c>
      <c r="G40" s="166"/>
    </row>
    <row r="41" spans="2:11">
      <c r="C41" s="4"/>
    </row>
    <row r="42" spans="2:11" ht="15.75" thickBot="1"/>
    <row r="43" spans="2:11" ht="19.5" thickBot="1">
      <c r="B43" s="149" t="s">
        <v>173</v>
      </c>
      <c r="C43" s="121"/>
      <c r="D43" s="121"/>
      <c r="E43" s="121"/>
      <c r="F43" s="121"/>
      <c r="G43" s="121"/>
      <c r="H43" s="121"/>
      <c r="I43" s="121"/>
      <c r="J43" s="121"/>
      <c r="K43" s="122"/>
    </row>
    <row r="46" spans="2:11">
      <c r="D46" s="169" t="s">
        <v>157</v>
      </c>
      <c r="E46" s="170">
        <v>45818</v>
      </c>
      <c r="F46" s="171"/>
      <c r="G46" s="171"/>
      <c r="H46" s="171"/>
    </row>
    <row r="47" spans="2:11">
      <c r="D47" s="171"/>
      <c r="E47" s="171"/>
      <c r="F47" s="171"/>
      <c r="G47" s="171"/>
      <c r="H47" s="171"/>
    </row>
    <row r="48" spans="2:11">
      <c r="D48" s="171"/>
      <c r="E48" s="169">
        <f ca="1">TODAY()-E46</f>
        <v>191</v>
      </c>
      <c r="F48" s="172" t="s">
        <v>159</v>
      </c>
      <c r="G48" s="171"/>
      <c r="H48" s="171"/>
    </row>
    <row r="49" spans="2:11" ht="15.75" thickBot="1"/>
    <row r="50" spans="2:11" ht="19.5" thickBot="1">
      <c r="B50" s="149" t="s">
        <v>174</v>
      </c>
      <c r="C50" s="121"/>
      <c r="D50" s="121"/>
      <c r="E50" s="121"/>
      <c r="F50" s="121"/>
      <c r="G50" s="121"/>
      <c r="H50" s="121"/>
      <c r="I50" s="121"/>
      <c r="J50" s="121"/>
      <c r="K50" s="122"/>
    </row>
    <row r="53" spans="2:11">
      <c r="D53" s="173"/>
      <c r="E53" s="174" t="str">
        <f ca="1">TEXT(NOW(), "dd-mm-yyyy hh:mm am/pm")</f>
        <v>18-12-2025 01:07 AM</v>
      </c>
      <c r="F53" s="175" t="s">
        <v>159</v>
      </c>
      <c r="G53" s="173"/>
      <c r="H53" s="173"/>
      <c r="K53" s="40"/>
    </row>
    <row r="54" spans="2:11" ht="15.75" thickBot="1"/>
    <row r="55" spans="2:11" ht="19.5" thickBot="1">
      <c r="B55" s="149" t="s">
        <v>175</v>
      </c>
      <c r="C55" s="121"/>
      <c r="D55" s="121"/>
      <c r="E55" s="121"/>
      <c r="F55" s="121"/>
      <c r="G55" s="121"/>
      <c r="H55" s="121"/>
      <c r="I55" s="121"/>
      <c r="J55" s="121"/>
      <c r="K55" s="122"/>
    </row>
    <row r="56" spans="2:11" ht="15.75">
      <c r="B56" s="19"/>
    </row>
    <row r="58" spans="2:11">
      <c r="C58" s="176" t="s">
        <v>214</v>
      </c>
      <c r="D58" s="176"/>
      <c r="E58" s="176"/>
      <c r="F58" s="176"/>
      <c r="G58" s="176"/>
      <c r="H58" s="176"/>
      <c r="I58" s="176"/>
    </row>
    <row r="59" spans="2:11">
      <c r="C59" s="176"/>
      <c r="D59" s="176"/>
      <c r="E59" s="176"/>
      <c r="F59" s="176"/>
      <c r="G59" s="176"/>
      <c r="H59" s="176"/>
      <c r="I59" s="176"/>
    </row>
    <row r="60" spans="2:11" ht="18">
      <c r="C60" s="177" t="s">
        <v>220</v>
      </c>
      <c r="D60" s="176"/>
      <c r="E60" s="176"/>
      <c r="F60" s="176"/>
      <c r="G60" s="176"/>
      <c r="H60" s="176"/>
      <c r="I60" s="176"/>
    </row>
    <row r="61" spans="2:11">
      <c r="C61" s="176"/>
      <c r="D61" s="176"/>
      <c r="E61" s="176"/>
      <c r="F61" s="176"/>
      <c r="G61" s="176"/>
      <c r="H61" s="176"/>
      <c r="I61" s="176"/>
    </row>
    <row r="62" spans="2:11">
      <c r="C62" s="176"/>
      <c r="D62" s="176" t="s">
        <v>215</v>
      </c>
      <c r="E62" s="176"/>
      <c r="F62" s="176"/>
      <c r="G62" s="176"/>
      <c r="H62" s="176"/>
      <c r="I62" s="176"/>
    </row>
    <row r="63" spans="2:11">
      <c r="C63" s="176"/>
      <c r="D63" s="176"/>
      <c r="E63" s="176"/>
      <c r="F63" s="176"/>
      <c r="G63" s="176"/>
      <c r="H63" s="176"/>
      <c r="I63" s="176"/>
    </row>
    <row r="64" spans="2:11" ht="18">
      <c r="C64" s="177" t="s">
        <v>221</v>
      </c>
      <c r="D64" s="176"/>
      <c r="E64" s="176"/>
      <c r="F64" s="176"/>
      <c r="G64" s="176"/>
      <c r="H64" s="176"/>
      <c r="I64" s="176"/>
    </row>
    <row r="65" spans="2:11">
      <c r="C65" s="178"/>
      <c r="D65" s="176"/>
      <c r="E65" s="176"/>
      <c r="F65" s="176"/>
      <c r="G65" s="176"/>
      <c r="H65" s="176"/>
      <c r="I65" s="176"/>
    </row>
    <row r="66" spans="2:11">
      <c r="C66" s="176"/>
      <c r="D66" s="179" t="s">
        <v>216</v>
      </c>
      <c r="E66" s="176"/>
      <c r="F66" s="176"/>
      <c r="G66" s="176"/>
      <c r="H66" s="176"/>
      <c r="I66" s="176"/>
    </row>
    <row r="67" spans="2:11">
      <c r="C67" s="176"/>
      <c r="D67" s="178"/>
      <c r="E67" s="176"/>
      <c r="F67" s="176"/>
      <c r="G67" s="176"/>
      <c r="H67" s="176"/>
      <c r="I67" s="176"/>
    </row>
    <row r="68" spans="2:11">
      <c r="C68" s="176"/>
      <c r="D68" s="178" t="s">
        <v>222</v>
      </c>
      <c r="E68" s="176"/>
      <c r="F68" s="176"/>
      <c r="G68" s="176"/>
      <c r="H68" s="176"/>
      <c r="I68" s="176"/>
    </row>
    <row r="69" spans="2:11">
      <c r="C69" s="176"/>
      <c r="D69" s="178"/>
      <c r="E69" s="176"/>
      <c r="F69" s="176"/>
      <c r="G69" s="176"/>
      <c r="H69" s="176"/>
      <c r="I69" s="176"/>
    </row>
    <row r="70" spans="2:11">
      <c r="C70" s="176"/>
      <c r="D70" s="178" t="s">
        <v>217</v>
      </c>
      <c r="E70" s="176"/>
      <c r="F70" s="176"/>
      <c r="G70" s="176"/>
      <c r="H70" s="176"/>
      <c r="I70" s="176"/>
    </row>
    <row r="71" spans="2:11">
      <c r="C71" s="176"/>
      <c r="D71" s="176"/>
      <c r="E71" s="176"/>
      <c r="F71" s="176"/>
      <c r="G71" s="176"/>
      <c r="H71" s="176"/>
      <c r="I71" s="176"/>
    </row>
    <row r="72" spans="2:11">
      <c r="C72" s="176"/>
      <c r="D72" s="180" t="s">
        <v>230</v>
      </c>
      <c r="E72" s="181">
        <f ca="1">TODAY()</f>
        <v>46009</v>
      </c>
      <c r="F72" s="176"/>
      <c r="G72" s="176"/>
      <c r="H72" s="176"/>
      <c r="I72" s="176"/>
    </row>
    <row r="73" spans="2:11">
      <c r="C73" s="176"/>
      <c r="D73" s="176"/>
      <c r="E73" s="176"/>
      <c r="F73" s="176"/>
      <c r="G73" s="176"/>
      <c r="H73" s="176"/>
      <c r="I73" s="176"/>
    </row>
    <row r="74" spans="2:11" ht="18">
      <c r="C74" s="177" t="s">
        <v>219</v>
      </c>
      <c r="D74" s="176"/>
      <c r="E74" s="176"/>
      <c r="F74" s="176"/>
      <c r="G74" s="176"/>
      <c r="H74" s="176"/>
      <c r="I74" s="176"/>
    </row>
    <row r="75" spans="2:11">
      <c r="C75" s="176"/>
      <c r="D75" s="176"/>
      <c r="E75" s="176"/>
      <c r="F75" s="176"/>
      <c r="G75" s="176"/>
      <c r="H75" s="176"/>
      <c r="I75" s="176"/>
    </row>
    <row r="76" spans="2:11">
      <c r="C76" s="176"/>
      <c r="D76" s="182" t="s">
        <v>218</v>
      </c>
      <c r="E76" s="176"/>
      <c r="F76" s="176"/>
      <c r="G76" s="176"/>
      <c r="H76" s="176"/>
      <c r="I76" s="176"/>
    </row>
    <row r="77" spans="2:11" ht="15.75" thickBot="1"/>
    <row r="78" spans="2:11" ht="19.5" thickBot="1">
      <c r="B78" s="149" t="s">
        <v>176</v>
      </c>
      <c r="C78" s="121"/>
      <c r="D78" s="121"/>
      <c r="E78" s="121"/>
      <c r="F78" s="121"/>
      <c r="G78" s="121"/>
      <c r="H78" s="121"/>
      <c r="I78" s="121"/>
      <c r="J78" s="121"/>
      <c r="K78" s="122"/>
    </row>
    <row r="80" spans="2:11">
      <c r="D80" s="183" t="s">
        <v>223</v>
      </c>
      <c r="E80" s="183"/>
      <c r="F80" s="183"/>
      <c r="G80" s="183"/>
      <c r="H80" s="183"/>
      <c r="I80" s="183"/>
    </row>
    <row r="81" spans="4:9">
      <c r="D81" s="183"/>
      <c r="E81" s="183"/>
      <c r="F81" s="183"/>
      <c r="G81" s="183"/>
      <c r="H81" s="183"/>
      <c r="I81" s="183"/>
    </row>
    <row r="82" spans="4:9" ht="18">
      <c r="D82" s="184" t="s">
        <v>228</v>
      </c>
      <c r="E82" s="183"/>
      <c r="F82" s="183"/>
      <c r="G82" s="183"/>
      <c r="H82" s="183"/>
      <c r="I82" s="183"/>
    </row>
    <row r="83" spans="4:9">
      <c r="D83" s="183"/>
      <c r="E83" s="183"/>
      <c r="F83" s="183"/>
      <c r="G83" s="183"/>
      <c r="H83" s="183"/>
      <c r="I83" s="183"/>
    </row>
    <row r="84" spans="4:9">
      <c r="D84" s="183"/>
      <c r="E84" s="185" t="s">
        <v>224</v>
      </c>
      <c r="F84" s="183"/>
      <c r="G84" s="183"/>
      <c r="H84" s="183"/>
      <c r="I84" s="183"/>
    </row>
    <row r="85" spans="4:9">
      <c r="D85" s="183"/>
      <c r="E85" s="183" t="s">
        <v>225</v>
      </c>
      <c r="F85" s="183"/>
      <c r="G85" s="183"/>
      <c r="H85" s="183"/>
      <c r="I85" s="183"/>
    </row>
    <row r="86" spans="4:9">
      <c r="D86" s="183"/>
      <c r="E86" s="183"/>
      <c r="F86" s="183"/>
      <c r="G86" s="183"/>
      <c r="H86" s="183"/>
      <c r="I86" s="183"/>
    </row>
    <row r="87" spans="4:9" ht="18">
      <c r="D87" s="184" t="s">
        <v>229</v>
      </c>
      <c r="E87" s="183"/>
      <c r="F87" s="183"/>
      <c r="G87" s="183"/>
      <c r="H87" s="183"/>
      <c r="I87" s="183"/>
    </row>
    <row r="88" spans="4:9">
      <c r="D88" s="186"/>
      <c r="E88" s="183"/>
      <c r="F88" s="183"/>
      <c r="G88" s="183"/>
      <c r="H88" s="183"/>
      <c r="I88" s="183"/>
    </row>
    <row r="89" spans="4:9">
      <c r="D89" s="183"/>
      <c r="E89" s="186" t="s">
        <v>226</v>
      </c>
      <c r="F89" s="183"/>
      <c r="G89" s="183"/>
      <c r="H89" s="183"/>
      <c r="I89" s="183"/>
    </row>
    <row r="90" spans="4:9">
      <c r="D90" s="183"/>
      <c r="E90" s="186"/>
      <c r="F90" s="183"/>
      <c r="G90" s="183"/>
      <c r="H90" s="183"/>
      <c r="I90" s="183"/>
    </row>
    <row r="91" spans="4:9">
      <c r="D91" s="183"/>
      <c r="E91" s="186" t="s">
        <v>227</v>
      </c>
      <c r="F91" s="183"/>
      <c r="G91" s="183"/>
      <c r="H91" s="183"/>
      <c r="I91" s="183"/>
    </row>
    <row r="92" spans="4:9">
      <c r="D92" s="183"/>
      <c r="E92" s="187"/>
      <c r="F92" s="183"/>
      <c r="G92" s="183"/>
      <c r="H92" s="183"/>
      <c r="I92" s="18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akshat maurya</cp:lastModifiedBy>
  <dcterms:created xsi:type="dcterms:W3CDTF">2015-06-05T18:17:20Z</dcterms:created>
  <dcterms:modified xsi:type="dcterms:W3CDTF">2025-12-17T19:38:13Z</dcterms:modified>
</cp:coreProperties>
</file>